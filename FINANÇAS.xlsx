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/Users/cristianzimermann/Documents/"/>
    </mc:Choice>
  </mc:AlternateContent>
  <xr:revisionPtr revIDLastSave="0" documentId="13_ncr:1_{19101746-18AC-404C-9512-70DB8B738788}" xr6:coauthVersionLast="47" xr6:coauthVersionMax="47" xr10:uidLastSave="{00000000-0000-0000-0000-000000000000}"/>
  <bookViews>
    <workbookView xWindow="0" yWindow="660" windowWidth="29400" windowHeight="16560" activeTab="2" xr2:uid="{B5ACBE1D-7D8F-4115-9CD2-15589E6ACAD9}"/>
  </bookViews>
  <sheets>
    <sheet name="2024" sheetId="1" r:id="rId1"/>
    <sheet name="2025" sheetId="3" r:id="rId2"/>
    <sheet name="2026" sheetId="6" r:id="rId3"/>
    <sheet name="CartaoNeon" sheetId="4" r:id="rId4"/>
    <sheet name="CartaoMai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6" l="1"/>
  <c r="R21" i="6"/>
  <c r="R26" i="6"/>
  <c r="S21" i="6"/>
  <c r="M21" i="6"/>
  <c r="P21" i="6"/>
  <c r="P24" i="6"/>
  <c r="O21" i="6"/>
  <c r="L21" i="6"/>
  <c r="L24" i="6"/>
  <c r="F21" i="6"/>
  <c r="G21" i="6"/>
  <c r="C21" i="6"/>
  <c r="C24" i="6"/>
  <c r="R42" i="6"/>
  <c r="M42" i="6"/>
  <c r="M45" i="6"/>
  <c r="L42" i="6"/>
  <c r="L45" i="6"/>
  <c r="J42" i="6"/>
  <c r="J45" i="6"/>
  <c r="I42" i="6"/>
  <c r="I45" i="6"/>
  <c r="G42" i="6"/>
  <c r="G45" i="6"/>
  <c r="F42" i="6"/>
  <c r="F45" i="6"/>
  <c r="D42" i="6"/>
  <c r="S42" i="6"/>
  <c r="P42" i="6"/>
  <c r="P45" i="6"/>
  <c r="O42" i="6"/>
  <c r="O45" i="6"/>
  <c r="J21" i="6"/>
  <c r="J24" i="6"/>
  <c r="I21" i="6"/>
  <c r="I24" i="6"/>
  <c r="D21" i="6"/>
  <c r="R36" i="3"/>
  <c r="R39" i="3"/>
  <c r="S32" i="3"/>
  <c r="S36" i="3"/>
  <c r="S39" i="3" a="1"/>
  <c r="S39" i="3"/>
  <c r="O31" i="3"/>
  <c r="O36" i="3"/>
  <c r="O39" i="3"/>
  <c r="P32" i="3"/>
  <c r="P36" i="3"/>
  <c r="P39" i="3" a="1"/>
  <c r="P39" i="3"/>
  <c r="L36" i="3"/>
  <c r="L39" i="3"/>
  <c r="I36" i="3"/>
  <c r="I39" i="3"/>
  <c r="S13" i="3"/>
  <c r="S17" i="3"/>
  <c r="S20" i="3"/>
  <c r="D36" i="3"/>
  <c r="D39" i="3"/>
  <c r="C36" i="3"/>
  <c r="C39" i="3"/>
  <c r="M36" i="3"/>
  <c r="M39" i="3" a="1"/>
  <c r="M39" i="3"/>
  <c r="J36" i="3"/>
  <c r="J39" i="3"/>
  <c r="G36" i="3"/>
  <c r="G39" i="3"/>
  <c r="F36" i="3"/>
  <c r="F39" i="3"/>
  <c r="M17" i="3"/>
  <c r="M20" i="3"/>
  <c r="J17" i="3"/>
  <c r="J20" i="3"/>
  <c r="R17" i="3"/>
  <c r="R20" i="3"/>
  <c r="P17" i="3"/>
  <c r="P20" i="3"/>
  <c r="O17" i="3"/>
  <c r="O20" i="3"/>
  <c r="L17" i="3"/>
  <c r="L20" i="3"/>
  <c r="I17" i="3"/>
  <c r="I20" i="3"/>
  <c r="G17" i="3"/>
  <c r="G20" i="3"/>
  <c r="F17" i="3"/>
  <c r="F20" i="3"/>
  <c r="D17" i="3"/>
  <c r="D20" i="3"/>
  <c r="C17" i="3"/>
  <c r="C20" i="3"/>
  <c r="U26" i="1"/>
  <c r="AB31" i="1"/>
  <c r="T26" i="1"/>
  <c r="X26" i="1"/>
  <c r="X27" i="1"/>
  <c r="S26" i="1"/>
  <c r="X24" i="1"/>
  <c r="O38" i="1"/>
  <c r="O41" i="1"/>
  <c r="C38" i="1"/>
  <c r="C41" i="1"/>
  <c r="F38" i="1"/>
  <c r="F41" i="1"/>
  <c r="R19" i="1"/>
  <c r="R40" i="1"/>
  <c r="P17" i="1"/>
  <c r="P20" i="1"/>
  <c r="P38" i="1"/>
  <c r="P41" i="1" a="1"/>
  <c r="P41" i="1"/>
  <c r="M38" i="1"/>
  <c r="M41" i="1"/>
  <c r="L38" i="1"/>
  <c r="L41" i="1"/>
  <c r="J38" i="1"/>
  <c r="J41" i="1"/>
  <c r="I38" i="1"/>
  <c r="I41" i="1"/>
  <c r="G38" i="1"/>
  <c r="G41" i="1"/>
  <c r="D38" i="1"/>
  <c r="D41" i="1"/>
  <c r="O17" i="1"/>
  <c r="O20" i="1"/>
  <c r="M17" i="1"/>
  <c r="M20" i="1"/>
  <c r="L17" i="1"/>
  <c r="L20" i="1"/>
  <c r="J17" i="1"/>
  <c r="J20" i="1"/>
  <c r="I17" i="1"/>
  <c r="I20" i="1"/>
  <c r="G17" i="1"/>
  <c r="G20" i="1"/>
  <c r="F17" i="1"/>
  <c r="F20" i="1"/>
  <c r="C17" i="1"/>
  <c r="C20" i="1"/>
  <c r="D17" i="1"/>
  <c r="D20" i="1"/>
  <c r="R41" i="1"/>
  <c r="R38" i="1"/>
  <c r="R20" i="1"/>
  <c r="R17" i="1"/>
  <c r="S45" i="6"/>
  <c r="F24" i="6"/>
  <c r="R45" i="6"/>
  <c r="D24" i="6"/>
  <c r="S24" i="6"/>
  <c r="D45" i="6"/>
  <c r="G24" i="6"/>
  <c r="C45" i="6"/>
  <c r="R24" i="6"/>
  <c r="O24" i="6"/>
  <c r="M24" i="6"/>
  <c r="V3" i="6"/>
  <c r="U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<sst xmlns="http://schemas.openxmlformats.org/spreadsheetml/2006/main" count="646" uniqueCount="115">
  <si>
    <t>CONTAS</t>
  </si>
  <si>
    <t>VALOR</t>
  </si>
  <si>
    <t>ALUGUEL</t>
  </si>
  <si>
    <t>ENERGIA</t>
  </si>
  <si>
    <t>CELULAR</t>
  </si>
  <si>
    <t>FACULDADE</t>
  </si>
  <si>
    <t>RAFA</t>
  </si>
  <si>
    <t>MENO</t>
  </si>
  <si>
    <t>CARTÃO</t>
  </si>
  <si>
    <t>TOTAL</t>
  </si>
  <si>
    <t>PAGAMENTO</t>
  </si>
  <si>
    <t>VALE</t>
  </si>
  <si>
    <t>AGUA</t>
  </si>
  <si>
    <t>RECEBIDO</t>
  </si>
  <si>
    <t>RESTOU</t>
  </si>
  <si>
    <t>FONE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</si>
  <si>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</si>
  <si>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</si>
  <si>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</si>
  <si>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</si>
  <si>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</si>
  <si>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</si>
  <si>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</si>
  <si>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</si>
  <si>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</si>
  <si>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</si>
  <si>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FINANÇAS</t>
  </si>
  <si>
    <t>RELÓGIO</t>
  </si>
  <si>
    <t>MARCO</t>
  </si>
  <si>
    <t>TOTAL GASTO</t>
  </si>
  <si>
    <t>TOTAL RECEBIDO</t>
  </si>
  <si>
    <t>TOTAL SOBRADO</t>
  </si>
  <si>
    <t>CARTÃO MAIS</t>
  </si>
  <si>
    <t>CARTÃO NEON</t>
  </si>
  <si>
    <t>VIAGEM</t>
  </si>
  <si>
    <t>TABACOS/SEDA/PITEIRA</t>
  </si>
  <si>
    <t>GASOLINA</t>
  </si>
  <si>
    <t>MOTO</t>
  </si>
  <si>
    <t>TECLADO</t>
  </si>
  <si>
    <t>DÉCIMO TERCEIRO</t>
  </si>
  <si>
    <t>MEDIDOR</t>
  </si>
  <si>
    <t>S10</t>
  </si>
  <si>
    <t>1/3 FÉRIAS</t>
  </si>
  <si>
    <t>DECIMO TERCEIRO 1</t>
  </si>
  <si>
    <t>DECIMO TERCEIRO 2</t>
  </si>
  <si>
    <t>1...3 DAS FÉRIAS</t>
  </si>
  <si>
    <t>FIXA</t>
  </si>
  <si>
    <t>OUTROS</t>
  </si>
  <si>
    <t>LUCAS</t>
  </si>
  <si>
    <t>BARRACA</t>
  </si>
  <si>
    <t>CANANEIA COMBUSTIVEL + PEDAGIO</t>
  </si>
  <si>
    <t>VIAGEM FIM DE ANO</t>
  </si>
  <si>
    <t>COMIDA CANANÉIA</t>
  </si>
  <si>
    <t>MERCADO GERAL</t>
  </si>
  <si>
    <t>COMIDA FRONTEIRA</t>
  </si>
  <si>
    <t>PASSEIO</t>
  </si>
  <si>
    <t>FORRO</t>
  </si>
  <si>
    <t>IPHONE</t>
  </si>
  <si>
    <t>JANEIRO</t>
  </si>
  <si>
    <t>FEVEREIRO</t>
  </si>
  <si>
    <t>CLIO</t>
  </si>
  <si>
    <t>CARRO</t>
  </si>
  <si>
    <t>OCULOS BRUNA</t>
  </si>
  <si>
    <t>YOUTUBE</t>
  </si>
  <si>
    <t>MC DEV</t>
  </si>
  <si>
    <t>CARTAO NEON</t>
  </si>
  <si>
    <t>JANTAR ESTACAO VALENTINA</t>
  </si>
  <si>
    <t>PAI SEM PARAR</t>
  </si>
  <si>
    <t>BRUNA</t>
  </si>
  <si>
    <t>WAP KARCHER</t>
  </si>
  <si>
    <t>PC MÃE</t>
  </si>
  <si>
    <t>TIPO</t>
  </si>
  <si>
    <t>ALIPAY</t>
  </si>
  <si>
    <t>MERCADO LIVRE</t>
  </si>
  <si>
    <t>PERFUME</t>
  </si>
  <si>
    <t>MERCADO</t>
  </si>
  <si>
    <t>ANUIDADE</t>
  </si>
  <si>
    <t>LAVAGEM CARRO</t>
  </si>
  <si>
    <t>CAFÉ E PROSA</t>
  </si>
  <si>
    <t>WASABI EVENTOS</t>
  </si>
  <si>
    <t>PADARIA</t>
  </si>
  <si>
    <t>BARBEIRO</t>
  </si>
  <si>
    <t>MACBOOK</t>
  </si>
  <si>
    <t>MÊS 11</t>
  </si>
  <si>
    <t>MÊS 12</t>
  </si>
  <si>
    <t>ADEGA</t>
  </si>
  <si>
    <t>MERCADO CARNE+OVO</t>
  </si>
  <si>
    <t>MILLA CAPAS</t>
  </si>
  <si>
    <t>JAQUETA</t>
  </si>
  <si>
    <t>SHOPEE</t>
  </si>
  <si>
    <t>CAPCUT</t>
  </si>
  <si>
    <t xml:space="preserve">CURSOR </t>
  </si>
  <si>
    <t xml:space="preserve">DENTISTA </t>
  </si>
  <si>
    <t>DENTISTA</t>
  </si>
  <si>
    <t xml:space="preserve">ANUIDADE </t>
  </si>
  <si>
    <t>MÊS 1/2026</t>
  </si>
  <si>
    <t>MÊS 1 2026</t>
  </si>
  <si>
    <t>LUZ</t>
  </si>
  <si>
    <t>CLARO</t>
  </si>
  <si>
    <t>LUITEX/WAP</t>
  </si>
  <si>
    <t>CARTAO MAIS</t>
  </si>
  <si>
    <t>PROJECAO</t>
  </si>
  <si>
    <t>RESTOU JAN A JUNH</t>
  </si>
  <si>
    <t>RESTOU JUN A DEZ</t>
  </si>
  <si>
    <t>SEM PARAR</t>
  </si>
  <si>
    <t>CARTAO NUBANK</t>
  </si>
  <si>
    <t>HAVAN</t>
  </si>
  <si>
    <t>CARRO RENATO</t>
  </si>
  <si>
    <t>CARRO CARTAO</t>
  </si>
  <si>
    <t>CARTAO BRUNA</t>
  </si>
  <si>
    <t>ALMOCO</t>
  </si>
  <si>
    <t>GOOGLE ONE</t>
  </si>
  <si>
    <t>BOTA BRUNA</t>
  </si>
  <si>
    <t>FÉRIAS</t>
  </si>
  <si>
    <t>TOTAL 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</si>
</sst>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44" formatCode="_-&quot;R$&quot;\ * #,##0.00_-;\-&quot;R$&quot;\ * #,##0.00_-;_-&quot;R$&quot;\ 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name val="Aptos Narrow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DF73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4">
    <xf numFmtId="0" fontId="0" fillId="0" borderId="0" xfId="0"/>
    <xf numFmtId="44" fontId="0" fillId="0" borderId="0" xfId="1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4" fontId="0" fillId="3" borderId="1" xfId="1" applyFont="1" applyFill="1" applyBorder="1"/>
    <xf numFmtId="44" fontId="0" fillId="0" borderId="1" xfId="1" applyFont="1" applyFill="1" applyBorder="1"/>
    <xf numFmtId="44" fontId="0" fillId="2" borderId="1" xfId="1" applyFont="1" applyFill="1" applyBorder="1" applyAlignment="1">
      <alignment horizontal="center"/>
    </xf>
    <xf numFmtId="44" fontId="0" fillId="2" borderId="1" xfId="1" applyFont="1" applyFill="1" applyBorder="1"/>
    <xf numFmtId="44" fontId="0" fillId="4" borderId="1" xfId="0" applyNumberFormat="1" applyFill="1" applyBorder="1"/>
    <xf numFmtId="0" fontId="2" fillId="0" borderId="0" xfId="0" applyFont="1"/>
    <xf numFmtId="44" fontId="0" fillId="0" borderId="0" xfId="1" applyFont="1" applyFill="1" applyBorder="1" applyAlignment="1">
      <alignment horizontal="center"/>
    </xf>
    <xf numFmtId="44" fontId="0" fillId="0" borderId="0" xfId="0" applyNumberFormat="1"/>
    <xf numFmtId="44" fontId="4" fillId="0" borderId="1" xfId="1" applyFont="1" applyFill="1" applyBorder="1"/>
    <xf numFmtId="44" fontId="4" fillId="0" borderId="1" xfId="1" applyFont="1" applyBorder="1"/>
    <xf numFmtId="44" fontId="0" fillId="6" borderId="1" xfId="1" applyFont="1" applyFill="1" applyBorder="1"/>
    <xf numFmtId="0" fontId="0" fillId="7" borderId="0" xfId="0" applyFill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44" fontId="4" fillId="9" borderId="1" xfId="1" applyFont="1" applyFill="1" applyBorder="1"/>
    <xf numFmtId="0" fontId="2" fillId="10" borderId="1" xfId="0" applyFont="1" applyFill="1" applyBorder="1"/>
    <xf numFmtId="44" fontId="0" fillId="10" borderId="1" xfId="0" applyNumberFormat="1" applyFill="1" applyBorder="1"/>
    <xf numFmtId="0" fontId="2" fillId="11" borderId="1" xfId="0" applyFont="1" applyFill="1" applyBorder="1"/>
    <xf numFmtId="0" fontId="2" fillId="8" borderId="1" xfId="0" applyFont="1" applyFill="1" applyBorder="1" applyAlignment="1">
      <alignment horizontal="center" vertical="center"/>
    </xf>
    <xf numFmtId="44" fontId="0" fillId="5" borderId="1" xfId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/>
    <xf numFmtId="0" fontId="2" fillId="6" borderId="1" xfId="0" applyFont="1" applyFill="1" applyBorder="1"/>
    <xf numFmtId="44" fontId="0" fillId="12" borderId="1" xfId="1" applyFont="1" applyFill="1" applyBorder="1" applyAlignment="1">
      <alignment horizontal="center" vertical="center"/>
    </xf>
    <xf numFmtId="44" fontId="0" fillId="13" borderId="1" xfId="1" applyFont="1" applyFill="1" applyBorder="1" applyAlignment="1">
      <alignment horizontal="center" vertical="center"/>
    </xf>
    <xf numFmtId="44" fontId="5" fillId="13" borderId="1" xfId="1" applyFont="1" applyFill="1" applyBorder="1" applyAlignment="1">
      <alignment horizontal="center" vertical="center"/>
    </xf>
    <xf numFmtId="44" fontId="1" fillId="13" borderId="1" xfId="1" applyFont="1" applyFill="1" applyBorder="1" applyAlignment="1">
      <alignment horizontal="center" vertical="center"/>
    </xf>
    <xf numFmtId="44" fontId="0" fillId="14" borderId="1" xfId="1" applyFont="1" applyFill="1" applyBorder="1" applyAlignment="1">
      <alignment horizontal="center" vertical="center"/>
    </xf>
    <xf numFmtId="44" fontId="0" fillId="15" borderId="1" xfId="1" applyFont="1" applyFill="1" applyBorder="1" applyAlignment="1">
      <alignment horizontal="center" vertical="center"/>
    </xf>
    <xf numFmtId="0" fontId="2" fillId="7" borderId="8" xfId="0" applyFont="1" applyFill="1" applyBorder="1"/>
    <xf numFmtId="0" fontId="2" fillId="7" borderId="7" xfId="0" applyFont="1" applyFill="1" applyBorder="1" applyAlignment="1">
      <alignment horizontal="center" vertical="center"/>
    </xf>
    <xf numFmtId="44" fontId="4" fillId="0" borderId="2" xfId="1" applyFont="1" applyBorder="1"/>
    <xf numFmtId="0" fontId="2" fillId="7" borderId="7" xfId="0" applyFont="1" applyFill="1" applyBorder="1" applyAlignment="1">
      <alignment horizontal="center"/>
    </xf>
    <xf numFmtId="44" fontId="4" fillId="0" borderId="0" xfId="0" applyNumberFormat="1" applyFont="1"/>
    <xf numFmtId="44" fontId="0" fillId="16" borderId="1" xfId="1" applyFont="1" applyFill="1" applyBorder="1" applyAlignment="1">
      <alignment horizontal="center" vertical="center"/>
    </xf>
    <xf numFmtId="44" fontId="0" fillId="17" borderId="1" xfId="1" applyFont="1" applyFill="1" applyBorder="1"/>
    <xf numFmtId="44" fontId="5" fillId="17" borderId="1" xfId="1" applyFont="1" applyFill="1" applyBorder="1"/>
    <xf numFmtId="44" fontId="0" fillId="0" borderId="1" xfId="1" applyFont="1" applyBorder="1"/>
    <xf numFmtId="0" fontId="2" fillId="0" borderId="1" xfId="0" applyFont="1" applyBorder="1" applyAlignment="1">
      <alignment horizontal="left" vertical="top"/>
    </xf>
    <xf numFmtId="44" fontId="0" fillId="16" borderId="1" xfId="1" applyFont="1" applyFill="1" applyBorder="1"/>
    <xf numFmtId="44" fontId="7" fillId="6" borderId="1" xfId="1" applyFont="1" applyFill="1" applyBorder="1"/>
    <xf numFmtId="0" fontId="7" fillId="6" borderId="1" xfId="0" applyFont="1" applyFill="1" applyBorder="1"/>
    <xf numFmtId="44" fontId="0" fillId="2" borderId="1" xfId="1" applyFont="1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 vertical="center"/>
    </xf>
    <xf numFmtId="6" fontId="0" fillId="7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/>
    </xf>
    <xf numFmtId="0" fontId="2" fillId="0" borderId="9" xfId="0" applyFont="1" applyBorder="1"/>
    <xf numFmtId="0" fontId="2" fillId="0" borderId="3" xfId="0" applyFont="1" applyBorder="1"/>
    <xf numFmtId="0" fontId="0" fillId="0" borderId="3" xfId="0" applyBorder="1"/>
    <xf numFmtId="0" fontId="0" fillId="7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16" fontId="0" fillId="0" borderId="0" xfId="0" applyNumberFormat="1"/>
    <xf numFmtId="44" fontId="0" fillId="0" borderId="0" xfId="1" applyFont="1"/>
    <xf numFmtId="12" fontId="0" fillId="0" borderId="0" xfId="0" applyNumberFormat="1"/>
    <xf numFmtId="44" fontId="0" fillId="16" borderId="9" xfId="1" applyFont="1" applyFill="1" applyBorder="1"/>
    <xf numFmtId="44" fontId="0" fillId="3" borderId="1" xfId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4" fontId="0" fillId="6" borderId="1" xfId="1" applyFont="1" applyFill="1" applyBorder="1" applyAlignment="1">
      <alignment horizontal="center" vertical="center"/>
    </xf>
    <xf numFmtId="0" fontId="0" fillId="6" borderId="0" xfId="0" applyFill="1"/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44" fontId="5" fillId="6" borderId="1" xfId="1" applyFont="1" applyFill="1" applyBorder="1" applyAlignment="1">
      <alignment horizontal="center" vertical="center"/>
    </xf>
    <xf numFmtId="44" fontId="4" fillId="6" borderId="1" xfId="1" applyFont="1" applyFill="1" applyBorder="1"/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left" vertical="top"/>
    </xf>
    <xf numFmtId="0" fontId="2" fillId="6" borderId="3" xfId="0" applyFont="1" applyFill="1" applyBorder="1"/>
    <xf numFmtId="0" fontId="0" fillId="6" borderId="3" xfId="0" applyFill="1" applyBorder="1"/>
    <xf numFmtId="44" fontId="0" fillId="16" borderId="0" xfId="1" applyFont="1" applyFill="1"/>
    <xf numFmtId="0" fontId="2" fillId="18" borderId="1" xfId="0" applyFont="1" applyFill="1" applyBorder="1"/>
    <xf numFmtId="0" fontId="2" fillId="19" borderId="1" xfId="0" applyFont="1" applyFill="1" applyBorder="1"/>
    <xf numFmtId="0" fontId="2" fillId="6" borderId="1" xfId="0" applyFont="1" applyFill="1" applyBorder="1" applyAlignment="1">
      <alignment horizontal="left" vertical="center"/>
    </xf>
    <xf numFmtId="44" fontId="8" fillId="3" borderId="1" xfId="1" applyFont="1" applyFill="1" applyBorder="1"/>
    <xf numFmtId="0" fontId="9" fillId="6" borderId="1" xfId="0" applyFont="1" applyFill="1" applyBorder="1"/>
    <xf numFmtId="0" fontId="10" fillId="6" borderId="1" xfId="0" applyFont="1" applyFill="1" applyBorder="1"/>
    <xf numFmtId="0" fontId="10" fillId="6" borderId="9" xfId="0" applyFont="1" applyFill="1" applyBorder="1"/>
    <xf numFmtId="44" fontId="8" fillId="0" borderId="1" xfId="1" applyFont="1" applyFill="1" applyBorder="1"/>
    <xf numFmtId="0" fontId="2" fillId="0" borderId="1" xfId="0" applyFont="1" applyBorder="1" applyAlignment="1">
      <alignment horizontal="left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44" fontId="2" fillId="8" borderId="2" xfId="1" applyFont="1" applyFill="1" applyBorder="1" applyAlignment="1">
      <alignment horizontal="center"/>
    </xf>
    <xf numFmtId="44" fontId="2" fillId="8" borderId="6" xfId="1" applyFont="1" applyFill="1" applyBorder="1" applyAlignment="1">
      <alignment horizontal="center"/>
    </xf>
    <xf numFmtId="44" fontId="2" fillId="8" borderId="5" xfId="1" applyFont="1" applyFill="1" applyBorder="1" applyAlignment="1">
      <alignment horizontal="center"/>
    </xf>
    <xf numFmtId="44" fontId="5" fillId="0" borderId="1" xfId="1" applyFont="1" applyFill="1" applyBorder="1"/>
    <xf numFmtId="44" fontId="5" fillId="0" borderId="9" xfId="1" applyFont="1" applyFill="1" applyBorder="1"/>
    <xf numFmtId="44" fontId="8" fillId="16" borderId="1" xfId="1" applyFont="1" applyFill="1" applyBorder="1"/>
    <xf numFmtId="44" fontId="5" fillId="16" borderId="1" xfId="1" applyFont="1" applyFill="1" applyBorder="1"/>
    <xf numFmtId="44" fontId="5" fillId="16" borderId="9" xfId="1" applyFont="1" applyFill="1" applyBorder="1"/>
    <xf numFmtId="0" fontId="7" fillId="0" borderId="1" xfId="0" applyFont="1" applyBorder="1"/>
    <xf numFmtId="44" fontId="1" fillId="16" borderId="1" xfId="1" applyFont="1" applyFill="1" applyBorder="1"/>
    <xf numFmtId="0" fontId="0" fillId="0" borderId="0" xfId="0" applyAlignment="1">
      <alignment horizontal="center"/>
    </xf>
    <xf numFmtId="0" fontId="0" fillId="21" borderId="10" xfId="0" applyFill="1" applyBorder="1"/>
    <xf numFmtId="0" fontId="0" fillId="0" borderId="10" xfId="0" applyBorder="1"/>
    <xf numFmtId="0" fontId="0" fillId="0" borderId="11" xfId="0" applyBorder="1"/>
    <xf numFmtId="0" fontId="0" fillId="21" borderId="11" xfId="0" applyFill="1" applyBorder="1"/>
    <xf numFmtId="44" fontId="0" fillId="21" borderId="11" xfId="0" applyNumberFormat="1" applyFill="1" applyBorder="1"/>
    <xf numFmtId="44" fontId="0" fillId="0" borderId="11" xfId="0" applyNumberFormat="1" applyBorder="1"/>
    <xf numFmtId="0" fontId="0" fillId="21" borderId="10" xfId="0" applyFill="1" applyBorder="1" applyAlignment="1">
      <alignment horizontal="center"/>
    </xf>
    <xf numFmtId="0" fontId="0" fillId="21" borderId="11" xfId="0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11" xfId="0" applyFont="1" applyFill="1" applyBorder="1" applyAlignment="1">
      <alignment horizontal="center"/>
    </xf>
    <xf numFmtId="44" fontId="5" fillId="5" borderId="1" xfId="1" applyFont="1" applyFill="1" applyBorder="1"/>
    <xf numFmtId="44" fontId="0" fillId="0" borderId="0" xfId="1" applyFont="1" applyFill="1"/>
    <xf numFmtId="44" fontId="7" fillId="0" borderId="1" xfId="1" applyFont="1" applyFill="1" applyBorder="1"/>
    <xf numFmtId="0" fontId="4" fillId="0" borderId="1" xfId="0" applyFont="1" applyBorder="1" applyAlignment="1">
      <alignment horizontal="left" vertical="top"/>
    </xf>
    <xf numFmtId="0" fontId="10" fillId="0" borderId="1" xfId="0" applyFont="1" applyBorder="1"/>
    <xf numFmtId="0" fontId="10" fillId="0" borderId="9" xfId="0" applyFont="1" applyBorder="1"/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 vertical="center"/>
    </xf>
    <xf numFmtId="44" fontId="2" fillId="23" borderId="2" xfId="1" applyFont="1" applyFill="1" applyBorder="1" applyAlignment="1">
      <alignment horizontal="center"/>
    </xf>
    <xf numFmtId="44" fontId="2" fillId="23" borderId="6" xfId="1" applyFont="1" applyFill="1" applyBorder="1" applyAlignment="1">
      <alignment horizontal="center"/>
    </xf>
    <xf numFmtId="44" fontId="2" fillId="23" borderId="5" xfId="1" applyFont="1" applyFill="1" applyBorder="1" applyAlignment="1">
      <alignment horizontal="center"/>
    </xf>
    <xf numFmtId="0" fontId="2" fillId="23" borderId="3" xfId="0" applyFont="1" applyFill="1" applyBorder="1" applyAlignment="1">
      <alignment horizontal="center" vertical="center"/>
    </xf>
    <xf numFmtId="0" fontId="2" fillId="23" borderId="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44" fontId="0" fillId="2" borderId="0" xfId="1" applyFont="1" applyFill="1"/>
    <xf numFmtId="44" fontId="0" fillId="3" borderId="0" xfId="1" applyFont="1" applyFill="1"/>
    <xf numFmtId="44" fontId="5" fillId="3" borderId="1" xfId="1" applyFont="1" applyFill="1" applyBorder="1"/>
    <xf numFmtId="44" fontId="5" fillId="3" borderId="1" xfId="1" applyFont="1" applyFill="1" applyBorder="1" applyAlignment="1">
      <alignment horizontal="center" vertical="center"/>
    </xf>
    <xf numFmtId="0" fontId="13" fillId="0" borderId="1" xfId="0" applyFont="1" applyFill="1" applyBorder="1"/>
    <xf numFmtId="0" fontId="2" fillId="19" borderId="0" xfId="0" applyFont="1" applyFill="1" applyBorder="1"/>
    <xf numFmtId="44" fontId="0" fillId="4" borderId="0" xfId="0" applyNumberFormat="1" applyFill="1" applyBorder="1"/>
    <xf numFmtId="44" fontId="5" fillId="3" borderId="9" xfId="1" applyFont="1" applyFill="1" applyBorder="1"/>
    <xf numFmtId="0" fontId="2" fillId="23" borderId="2" xfId="0" applyFont="1" applyFill="1" applyBorder="1" applyAlignment="1">
      <alignment horizontal="center" vertical="center"/>
    </xf>
    <xf numFmtId="0" fontId="2" fillId="23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3" borderId="3" xfId="0" applyFont="1" applyFill="1" applyBorder="1" applyAlignment="1">
      <alignment horizontal="center" vertical="center"/>
    </xf>
    <xf numFmtId="0" fontId="2" fillId="23" borderId="4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/>
    </xf>
    <xf numFmtId="0" fontId="2" fillId="23" borderId="2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3" borderId="5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2" fillId="23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44" fontId="2" fillId="8" borderId="2" xfId="1" applyFont="1" applyFill="1" applyBorder="1" applyAlignment="1">
      <alignment horizontal="center"/>
    </xf>
    <xf numFmtId="44" fontId="2" fillId="8" borderId="6" xfId="1" applyFont="1" applyFill="1" applyBorder="1" applyAlignment="1">
      <alignment horizontal="center"/>
    </xf>
    <xf numFmtId="44" fontId="2" fillId="8" borderId="5" xfId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DF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420462-4730-724D-86A5-075093513F9F}" name="Table1" displayName="Table1" ref="A1:B11" totalsRowShown="0" headerRowDxfId="3">
  <autoFilter ref="A1:B11" xr:uid="{CD420462-4730-724D-86A5-075093513F9F}"/>
  <tableColumns count="2">
    <tableColumn id="1" xr3:uid="{A4C8C2A5-8D64-4A40-9E50-605A75B605AD}" name="TIPO"/>
    <tableColumn id="2" xr3:uid="{FD6596EB-C498-AF4A-AE70-12FD27649938}" name="VALOR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3DE249-C31A-47AB-8924-1ECF80CB02DA}" name="Table14" displayName="Table14" ref="D1:E11" totalsRowShown="0" headerRowDxfId="2">
  <autoFilter ref="D1:E11" xr:uid="{563DE249-C31A-47AB-8924-1ECF80CB02DA}"/>
  <tableColumns count="2">
    <tableColumn id="1" xr3:uid="{8DC22D4E-2583-48B5-85D0-02CA8326E426}" name="TIPO"/>
    <tableColumn id="2" xr3:uid="{D4ECDEAF-4F5E-4EFD-B12D-7544AC8AC646}" name="VALOR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98379F-5C27-B34D-B6A0-D9C6566525AB}" name="Table145" displayName="Table145" ref="G1:H11" totalsRowShown="0" headerRowDxfId="1">
  <autoFilter ref="G1:H11" xr:uid="{C998379F-5C27-B34D-B6A0-D9C6566525AB}"/>
  <tableColumns count="2">
    <tableColumn id="1" xr3:uid="{38A1518E-5360-C945-9083-A9D12EE6C209}" name="TIPO"/>
    <tableColumn id="2" xr3:uid="{076A5FD4-1CF7-734C-8217-C4E5D784AAD6}" name="VALOR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12C43E-9375-C94D-82DD-41C2F26841C9}" name="Table2" displayName="Table2" ref="A1:B20" totalsRowShown="0" headerRowDxfId="0">
  <autoFilter ref="A1:B20" xr:uid="{8912C43E-9375-C94D-82DD-41C2F26841C9}"/>
  <tableColumns count="2">
    <tableColumn id="1" xr3:uid="{9B446141-E30A-FF4F-8BFD-DC661A951091}" name="TIPO"/>
    <tableColumn id="2" xr3:uid="{46637534-8EF0-0C47-B6AF-5F19F0317B12}" name="VALO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0A67-C152-48B6-B796-F5766BBB453D}">
  <sheetPr codeName="Planilha1"/>
  <dimension ref="A1:AK43"/>
  <sheetViews>
    <sheetView zoomScaleNormal="100" workbookViewId="0">
      <selection activeCell="C14" sqref="C14"/>
    </sheetView>
  </sheetViews>
  <sheetFormatPr defaultColWidth="8.875" defaultRowHeight="15" x14ac:dyDescent="0.2"/>
  <cols>
    <col min="2" max="2" width="13.85546875" bestFit="1" customWidth="1"/>
    <col min="3" max="3" width="13.046875" bestFit="1" customWidth="1"/>
    <col min="4" max="4" width="12.5078125" bestFit="1" customWidth="1"/>
    <col min="5" max="6" width="13.046875" bestFit="1" customWidth="1"/>
    <col min="7" max="7" width="12.5078125" bestFit="1" customWidth="1"/>
    <col min="8" max="9" width="13.046875" bestFit="1" customWidth="1"/>
    <col min="10" max="10" width="12.5078125" bestFit="1" customWidth="1"/>
    <col min="11" max="11" width="13.85546875" bestFit="1" customWidth="1"/>
    <col min="12" max="12" width="13.046875" bestFit="1" customWidth="1"/>
    <col min="13" max="13" width="12.5078125" bestFit="1" customWidth="1"/>
    <col min="14" max="14" width="16.140625" bestFit="1" customWidth="1"/>
    <col min="15" max="15" width="13.046875" bestFit="1" customWidth="1"/>
    <col min="16" max="16" width="12.5078125" bestFit="1" customWidth="1"/>
    <col min="17" max="17" width="15.87109375" bestFit="1" customWidth="1"/>
    <col min="18" max="18" width="14.125" bestFit="1" customWidth="1"/>
    <col min="19" max="20" width="11.8359375" bestFit="1" customWidth="1"/>
    <col min="21" max="22" width="17.62109375" bestFit="1" customWidth="1"/>
    <col min="23" max="23" width="14.52734375" bestFit="1" customWidth="1"/>
    <col min="24" max="24" width="12.10546875" bestFit="1" customWidth="1"/>
    <col min="25" max="25" width="11.8359375" bestFit="1" customWidth="1"/>
    <col min="27" max="27" width="23" bestFit="1" customWidth="1"/>
    <col min="28" max="28" width="11.8359375" bestFit="1" customWidth="1"/>
    <col min="29" max="29" width="11.703125" bestFit="1" customWidth="1"/>
    <col min="30" max="31" width="11.8359375" bestFit="1" customWidth="1"/>
  </cols>
  <sheetData>
    <row r="1" spans="1:17" ht="29.25" x14ac:dyDescent="0.4">
      <c r="A1" s="17"/>
      <c r="B1" s="17"/>
      <c r="C1" s="17"/>
      <c r="D1" s="17"/>
      <c r="E1" s="17"/>
      <c r="F1" s="17"/>
      <c r="G1" s="143" t="s">
        <v>26</v>
      </c>
      <c r="H1" s="143"/>
      <c r="I1" s="143"/>
      <c r="J1" s="143"/>
      <c r="K1" s="143"/>
      <c r="L1" s="17"/>
      <c r="M1" s="17"/>
      <c r="N1" s="17"/>
      <c r="O1" s="17"/>
      <c r="P1" s="17"/>
      <c r="Q1" s="17"/>
    </row>
    <row r="2" spans="1:17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">
      <c r="A3" s="17"/>
      <c r="B3" s="156" t="s">
        <v>16</v>
      </c>
      <c r="C3" s="156"/>
      <c r="D3" s="156"/>
      <c r="E3" s="156" t="s">
        <v>17</v>
      </c>
      <c r="F3" s="156"/>
      <c r="G3" s="156"/>
      <c r="H3" s="156" t="s">
        <v>18</v>
      </c>
      <c r="I3" s="156"/>
      <c r="J3" s="156"/>
      <c r="K3" s="156" t="s">
        <v>19</v>
      </c>
      <c r="L3" s="156"/>
      <c r="M3" s="156"/>
      <c r="N3" s="156" t="s">
        <v>20</v>
      </c>
      <c r="O3" s="156"/>
      <c r="P3" s="156"/>
      <c r="Q3" s="17"/>
    </row>
    <row r="4" spans="1:17" x14ac:dyDescent="0.2">
      <c r="A4" s="17"/>
      <c r="B4" s="147" t="s">
        <v>0</v>
      </c>
      <c r="C4" s="24" t="s">
        <v>10</v>
      </c>
      <c r="D4" s="24" t="s">
        <v>11</v>
      </c>
      <c r="E4" s="147" t="s">
        <v>0</v>
      </c>
      <c r="F4" s="24" t="s">
        <v>10</v>
      </c>
      <c r="G4" s="24" t="s">
        <v>11</v>
      </c>
      <c r="H4" s="147" t="s">
        <v>0</v>
      </c>
      <c r="I4" s="24" t="s">
        <v>10</v>
      </c>
      <c r="J4" s="24" t="s">
        <v>11</v>
      </c>
      <c r="K4" s="147" t="s">
        <v>0</v>
      </c>
      <c r="L4" s="24" t="s">
        <v>10</v>
      </c>
      <c r="M4" s="24" t="s">
        <v>11</v>
      </c>
      <c r="N4" s="147" t="s">
        <v>0</v>
      </c>
      <c r="O4" s="24" t="s">
        <v>10</v>
      </c>
      <c r="P4" s="24" t="s">
        <v>11</v>
      </c>
      <c r="Q4" s="17"/>
    </row>
    <row r="5" spans="1:17" x14ac:dyDescent="0.2">
      <c r="A5" s="17"/>
      <c r="B5" s="148"/>
      <c r="C5" s="145" t="s">
        <v>1</v>
      </c>
      <c r="D5" s="146"/>
      <c r="E5" s="148"/>
      <c r="F5" s="145" t="s">
        <v>1</v>
      </c>
      <c r="G5" s="146"/>
      <c r="H5" s="148"/>
      <c r="I5" s="145" t="s">
        <v>1</v>
      </c>
      <c r="J5" s="146"/>
      <c r="K5" s="148"/>
      <c r="L5" s="145" t="s">
        <v>1</v>
      </c>
      <c r="M5" s="146"/>
      <c r="N5" s="148"/>
      <c r="O5" s="145" t="s">
        <v>1</v>
      </c>
      <c r="P5" s="146"/>
      <c r="Q5" s="17"/>
    </row>
    <row r="6" spans="1:17" x14ac:dyDescent="0.2">
      <c r="A6" s="17"/>
      <c r="B6" s="3" t="s">
        <v>2</v>
      </c>
      <c r="C6" s="25">
        <v>-550</v>
      </c>
      <c r="D6" s="26"/>
      <c r="E6" s="3" t="s">
        <v>2</v>
      </c>
      <c r="F6" s="34">
        <v>-550</v>
      </c>
      <c r="G6" s="27"/>
      <c r="H6" s="3" t="s">
        <v>2</v>
      </c>
      <c r="J6" s="25">
        <v>-550</v>
      </c>
      <c r="K6" s="3" t="s">
        <v>2</v>
      </c>
      <c r="L6" s="32">
        <v>-550</v>
      </c>
      <c r="M6" s="27"/>
      <c r="N6" s="3" t="s">
        <v>2</v>
      </c>
      <c r="O6" s="25">
        <v>-550</v>
      </c>
      <c r="P6" s="27"/>
      <c r="Q6" s="17"/>
    </row>
    <row r="7" spans="1:17" x14ac:dyDescent="0.2">
      <c r="A7" s="17"/>
      <c r="B7" s="3" t="s">
        <v>3</v>
      </c>
      <c r="C7" s="27"/>
      <c r="D7" s="32">
        <v>-350</v>
      </c>
      <c r="E7" s="3" t="s">
        <v>3</v>
      </c>
      <c r="F7" s="27"/>
      <c r="G7" s="32">
        <v>-350</v>
      </c>
      <c r="H7" s="3" t="s">
        <v>3</v>
      </c>
      <c r="I7" s="25">
        <v>-350</v>
      </c>
      <c r="J7" s="27"/>
      <c r="K7" s="3" t="s">
        <v>3</v>
      </c>
      <c r="L7" s="27"/>
      <c r="M7" s="35">
        <v>-350</v>
      </c>
      <c r="N7" s="3" t="s">
        <v>3</v>
      </c>
      <c r="O7" s="25">
        <v>-309</v>
      </c>
      <c r="P7" s="25">
        <v>-278</v>
      </c>
      <c r="Q7" s="17"/>
    </row>
    <row r="8" spans="1:17" x14ac:dyDescent="0.2">
      <c r="A8" s="17"/>
      <c r="B8" s="3" t="s">
        <v>4</v>
      </c>
      <c r="C8" s="27"/>
      <c r="D8" s="32">
        <v>-70</v>
      </c>
      <c r="E8" s="3" t="s">
        <v>4</v>
      </c>
      <c r="F8" s="27"/>
      <c r="G8" s="32">
        <v>-70</v>
      </c>
      <c r="H8" s="3" t="s">
        <v>4</v>
      </c>
      <c r="I8" s="27"/>
      <c r="J8" s="27"/>
      <c r="K8" s="3" t="s">
        <v>4</v>
      </c>
      <c r="L8" s="27"/>
      <c r="M8" s="35">
        <v>-70</v>
      </c>
      <c r="N8" s="3" t="s">
        <v>4</v>
      </c>
      <c r="O8" s="36">
        <v>-72</v>
      </c>
      <c r="P8" s="42">
        <v>-72</v>
      </c>
      <c r="Q8" s="17"/>
    </row>
    <row r="9" spans="1:17" x14ac:dyDescent="0.2">
      <c r="A9" s="17"/>
      <c r="B9" s="3" t="s">
        <v>5</v>
      </c>
      <c r="C9" s="25">
        <v>-210.75</v>
      </c>
      <c r="D9" s="27"/>
      <c r="E9" s="3" t="s">
        <v>5</v>
      </c>
      <c r="F9" s="32">
        <v>-210</v>
      </c>
      <c r="G9" s="27"/>
      <c r="H9" s="3" t="s">
        <v>5</v>
      </c>
      <c r="I9" s="25">
        <v>-210</v>
      </c>
      <c r="J9" s="27"/>
      <c r="K9" s="3" t="s">
        <v>5</v>
      </c>
      <c r="L9" s="25">
        <v>-210</v>
      </c>
      <c r="M9" s="27"/>
      <c r="N9" s="3" t="s">
        <v>5</v>
      </c>
      <c r="O9" s="25">
        <v>-222</v>
      </c>
      <c r="P9" s="27"/>
      <c r="Q9" s="17"/>
    </row>
    <row r="10" spans="1:17" x14ac:dyDescent="0.2">
      <c r="A10" s="17"/>
      <c r="B10" s="3" t="s">
        <v>12</v>
      </c>
      <c r="C10" s="4"/>
      <c r="D10" s="32">
        <v>-60</v>
      </c>
      <c r="E10" s="3" t="s">
        <v>12</v>
      </c>
      <c r="F10" s="27"/>
      <c r="G10" s="27"/>
      <c r="H10" s="3" t="s">
        <v>12</v>
      </c>
      <c r="I10" s="28"/>
      <c r="J10" s="25">
        <v>-50</v>
      </c>
      <c r="K10" s="3" t="s">
        <v>12</v>
      </c>
      <c r="L10" s="28"/>
      <c r="M10" s="27"/>
      <c r="N10" s="3" t="s">
        <v>12</v>
      </c>
      <c r="O10" s="4"/>
      <c r="P10" s="27"/>
      <c r="Q10" s="17"/>
    </row>
    <row r="11" spans="1:17" x14ac:dyDescent="0.2">
      <c r="A11" s="17"/>
      <c r="B11" s="3" t="s">
        <v>8</v>
      </c>
      <c r="C11" s="27"/>
      <c r="D11" s="32">
        <v>-500</v>
      </c>
      <c r="E11" s="3" t="s">
        <v>8</v>
      </c>
      <c r="F11" s="27"/>
      <c r="G11" s="32">
        <v>-500</v>
      </c>
      <c r="H11" s="3" t="s">
        <v>8</v>
      </c>
      <c r="I11" s="31">
        <v>-590</v>
      </c>
      <c r="J11" s="27"/>
      <c r="K11" s="3" t="s">
        <v>8</v>
      </c>
      <c r="L11" s="27"/>
      <c r="M11" s="32">
        <v>-500</v>
      </c>
      <c r="N11" s="3" t="s">
        <v>8</v>
      </c>
      <c r="O11" s="5"/>
      <c r="P11" s="42">
        <v>-377</v>
      </c>
      <c r="Q11" s="17"/>
    </row>
    <row r="12" spans="1:17" x14ac:dyDescent="0.2">
      <c r="A12" s="17"/>
      <c r="B12" s="3" t="s">
        <v>6</v>
      </c>
      <c r="C12" s="25">
        <v>-150</v>
      </c>
      <c r="E12" s="3" t="s">
        <v>15</v>
      </c>
      <c r="F12" s="32">
        <v>-25</v>
      </c>
      <c r="G12" s="4"/>
      <c r="H12" s="3" t="s">
        <v>15</v>
      </c>
      <c r="I12" s="25">
        <v>-25</v>
      </c>
      <c r="J12" s="4"/>
      <c r="K12" s="3" t="s">
        <v>27</v>
      </c>
      <c r="L12" s="27"/>
      <c r="M12" s="4"/>
      <c r="N12" s="3" t="s">
        <v>28</v>
      </c>
      <c r="O12" s="25">
        <v>-175</v>
      </c>
      <c r="P12" s="27"/>
      <c r="Q12" s="17"/>
    </row>
    <row r="13" spans="1:17" x14ac:dyDescent="0.2">
      <c r="A13" s="17"/>
      <c r="B13" s="3" t="s">
        <v>7</v>
      </c>
      <c r="C13" s="25">
        <v>-200</v>
      </c>
      <c r="D13" s="33">
        <v>150</v>
      </c>
      <c r="E13" s="3" t="s">
        <v>6</v>
      </c>
      <c r="F13" s="32">
        <v>-150</v>
      </c>
      <c r="G13" s="27"/>
      <c r="H13" s="3"/>
      <c r="I13" s="27"/>
      <c r="J13" s="27"/>
      <c r="K13" s="3"/>
      <c r="L13" s="27"/>
      <c r="M13" s="27"/>
      <c r="N13" s="3"/>
      <c r="O13" s="27"/>
      <c r="P13" s="27"/>
      <c r="Q13" s="17"/>
    </row>
    <row r="14" spans="1:17" x14ac:dyDescent="0.2">
      <c r="A14" s="17"/>
      <c r="B14" s="3" t="s">
        <v>15</v>
      </c>
      <c r="C14" s="25">
        <v>-25</v>
      </c>
      <c r="D14" s="4"/>
      <c r="P14" s="4"/>
      <c r="Q14" s="17"/>
    </row>
    <row r="15" spans="1:17" x14ac:dyDescent="0.2">
      <c r="A15" s="17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7"/>
    </row>
    <row r="16" spans="1:17" ht="15.75" thickBot="1" x14ac:dyDescent="0.25">
      <c r="A16" s="17"/>
      <c r="B16" s="2"/>
      <c r="C16" s="5"/>
      <c r="D16" s="5"/>
      <c r="E16" s="2"/>
      <c r="F16" s="5"/>
      <c r="G16" s="5"/>
      <c r="H16" s="2"/>
      <c r="I16" s="5"/>
      <c r="J16" s="5"/>
      <c r="K16" s="2"/>
      <c r="L16" s="5"/>
      <c r="M16" s="5"/>
      <c r="N16" s="2"/>
      <c r="O16" s="5"/>
      <c r="P16" s="5"/>
      <c r="Q16" s="17"/>
    </row>
    <row r="17" spans="1:37" ht="15.75" thickBot="1" x14ac:dyDescent="0.25">
      <c r="A17" s="17"/>
      <c r="B17" s="19" t="s">
        <v>9</v>
      </c>
      <c r="C17" s="20">
        <f>SUM(C6:C14)</f>
        <v>-1135.75</v>
      </c>
      <c r="D17" s="20">
        <f>SUM(D5:D13)</f>
        <v>-830</v>
      </c>
      <c r="E17" s="19" t="s">
        <v>9</v>
      </c>
      <c r="F17" s="20">
        <f>SUM(F6:F13)</f>
        <v>-935</v>
      </c>
      <c r="G17" s="20">
        <f>SUM(G5:G13)</f>
        <v>-920</v>
      </c>
      <c r="H17" s="19" t="s">
        <v>9</v>
      </c>
      <c r="I17" s="20">
        <f>SUM(I6:I13)</f>
        <v>-1175</v>
      </c>
      <c r="J17" s="20">
        <f>SUM(J5:J13)</f>
        <v>-600</v>
      </c>
      <c r="K17" s="19" t="s">
        <v>9</v>
      </c>
      <c r="L17" s="20">
        <f>SUM(L6:L13)</f>
        <v>-760</v>
      </c>
      <c r="M17" s="20">
        <f>SUM(M5:M13)</f>
        <v>-920</v>
      </c>
      <c r="N17" s="19" t="s">
        <v>9</v>
      </c>
      <c r="O17" s="20">
        <f>SUM(O6:O13)</f>
        <v>-1328</v>
      </c>
      <c r="P17" s="20">
        <f>SUM(P5:P13)</f>
        <v>-727</v>
      </c>
      <c r="Q17" s="40" t="s">
        <v>29</v>
      </c>
      <c r="R17" s="13">
        <f>SUM(C17+D17+F17+G17+I17+J17+L17+M17+O17+P17)</f>
        <v>-9330.75</v>
      </c>
      <c r="AF17" s="11"/>
      <c r="AI17" s="11"/>
    </row>
    <row r="18" spans="1:37" ht="15.75" thickBot="1" x14ac:dyDescent="0.25">
      <c r="A18" s="17"/>
      <c r="B18" s="2"/>
      <c r="C18" s="5"/>
      <c r="D18" s="5"/>
      <c r="E18" s="2"/>
      <c r="F18" s="5"/>
      <c r="G18" s="5"/>
      <c r="H18" s="2"/>
      <c r="I18" s="5"/>
      <c r="J18" s="5"/>
      <c r="K18" s="2"/>
      <c r="L18" s="5"/>
      <c r="M18" s="5"/>
      <c r="N18" s="2"/>
      <c r="O18" s="5"/>
      <c r="P18" s="5"/>
    </row>
    <row r="19" spans="1:37" ht="15.75" thickBot="1" x14ac:dyDescent="0.25">
      <c r="A19" s="17"/>
      <c r="B19" s="23" t="s">
        <v>13</v>
      </c>
      <c r="C19" s="8">
        <v>1400</v>
      </c>
      <c r="D19" s="9">
        <v>1000</v>
      </c>
      <c r="E19" s="23" t="s">
        <v>13</v>
      </c>
      <c r="F19" s="8">
        <v>1400</v>
      </c>
      <c r="G19" s="9">
        <v>1000</v>
      </c>
      <c r="H19" s="23" t="s">
        <v>13</v>
      </c>
      <c r="I19" s="8">
        <v>1400</v>
      </c>
      <c r="J19" s="9">
        <v>1000</v>
      </c>
      <c r="K19" s="23" t="s">
        <v>13</v>
      </c>
      <c r="L19" s="8">
        <v>1400</v>
      </c>
      <c r="M19" s="9">
        <v>1000</v>
      </c>
      <c r="N19" s="23" t="s">
        <v>13</v>
      </c>
      <c r="O19" s="8">
        <v>1600</v>
      </c>
      <c r="P19" s="9">
        <v>1200</v>
      </c>
      <c r="Q19" s="38" t="s">
        <v>30</v>
      </c>
      <c r="R19" s="13">
        <f>SUM(C19+D19+F19+G19+I19+J19+L19+M19+O19+P19)</f>
        <v>12400</v>
      </c>
      <c r="AF19" s="11"/>
      <c r="AG19" s="12"/>
      <c r="AH19" s="1"/>
      <c r="AI19" s="11"/>
      <c r="AJ19" s="12"/>
      <c r="AK19" s="1"/>
    </row>
    <row r="20" spans="1:37" ht="15.75" thickBot="1" x14ac:dyDescent="0.25">
      <c r="A20" s="17"/>
      <c r="B20" s="21" t="s">
        <v>14</v>
      </c>
      <c r="C20" s="22">
        <f>SUM(C19+C17)</f>
        <v>264.25</v>
      </c>
      <c r="D20" s="22">
        <f>SUM(D17:D19)</f>
        <v>170</v>
      </c>
      <c r="E20" s="21" t="s">
        <v>14</v>
      </c>
      <c r="F20" s="22">
        <f>SUM(F19+F17)</f>
        <v>465</v>
      </c>
      <c r="G20" s="22">
        <f>SUM(G17:G19)</f>
        <v>80</v>
      </c>
      <c r="H20" s="21" t="s">
        <v>14</v>
      </c>
      <c r="I20" s="22">
        <f>SUM(I19+I17)</f>
        <v>225</v>
      </c>
      <c r="J20" s="22">
        <f>SUM(J17:J19)</f>
        <v>400</v>
      </c>
      <c r="K20" s="21" t="s">
        <v>14</v>
      </c>
      <c r="L20" s="22">
        <f>SUM(L19+L17)</f>
        <v>640</v>
      </c>
      <c r="M20" s="22">
        <f>SUM(M17:M19)</f>
        <v>80</v>
      </c>
      <c r="N20" s="21" t="s">
        <v>14</v>
      </c>
      <c r="O20" s="22">
        <f>SUM(O19+O17)</f>
        <v>272</v>
      </c>
      <c r="P20" s="22">
        <f>SUM(P17:P19)</f>
        <v>473</v>
      </c>
      <c r="Q20" s="37" t="s">
        <v>31</v>
      </c>
      <c r="R20" s="13">
        <f>SUM(C20+D20+F20+G20+I20+J20+L20+M20+O20+P20)</f>
        <v>3069.25</v>
      </c>
      <c r="AF20" s="11"/>
      <c r="AG20" s="13"/>
      <c r="AI20" s="11"/>
      <c r="AJ20" s="13"/>
      <c r="AK20" s="1"/>
    </row>
    <row r="21" spans="1:37" x14ac:dyDescent="0.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37" x14ac:dyDescent="0.2">
      <c r="A22" s="17"/>
      <c r="B22" s="150" t="s">
        <v>21</v>
      </c>
      <c r="C22" s="151"/>
      <c r="D22" s="152"/>
      <c r="E22" s="153" t="s">
        <v>22</v>
      </c>
      <c r="F22" s="154"/>
      <c r="G22" s="155"/>
      <c r="H22" s="149" t="s">
        <v>23</v>
      </c>
      <c r="I22" s="149"/>
      <c r="J22" s="149"/>
      <c r="K22" s="149" t="s">
        <v>24</v>
      </c>
      <c r="L22" s="149"/>
      <c r="M22" s="149"/>
      <c r="N22" s="149" t="s">
        <v>25</v>
      </c>
      <c r="O22" s="149"/>
      <c r="P22" s="149"/>
      <c r="Q22" s="17"/>
    </row>
    <row r="23" spans="1:37" x14ac:dyDescent="0.2">
      <c r="A23" s="17"/>
      <c r="B23" s="147" t="s">
        <v>0</v>
      </c>
      <c r="C23" s="18" t="s">
        <v>10</v>
      </c>
      <c r="D23" s="18" t="s">
        <v>11</v>
      </c>
      <c r="E23" s="147" t="s">
        <v>0</v>
      </c>
      <c r="F23" s="18" t="s">
        <v>10</v>
      </c>
      <c r="G23" s="18" t="s">
        <v>11</v>
      </c>
      <c r="H23" s="147" t="s">
        <v>0</v>
      </c>
      <c r="I23" s="18" t="s">
        <v>10</v>
      </c>
      <c r="J23" s="18" t="s">
        <v>11</v>
      </c>
      <c r="K23" s="147" t="s">
        <v>0</v>
      </c>
      <c r="L23" s="18" t="s">
        <v>10</v>
      </c>
      <c r="M23" s="18" t="s">
        <v>11</v>
      </c>
      <c r="N23" s="147" t="s">
        <v>0</v>
      </c>
      <c r="O23" s="18" t="s">
        <v>10</v>
      </c>
      <c r="P23" s="18" t="s">
        <v>11</v>
      </c>
      <c r="Q23" s="17"/>
      <c r="S23" t="s">
        <v>10</v>
      </c>
      <c r="T23" t="s">
        <v>11</v>
      </c>
      <c r="U23" t="s">
        <v>43</v>
      </c>
      <c r="V23" t="s">
        <v>44</v>
      </c>
      <c r="W23" s="60" t="s">
        <v>45</v>
      </c>
      <c r="X23" t="s">
        <v>9</v>
      </c>
      <c r="AA23" t="s">
        <v>51</v>
      </c>
    </row>
    <row r="24" spans="1:37" x14ac:dyDescent="0.2">
      <c r="A24" s="17"/>
      <c r="B24" s="148"/>
      <c r="C24" s="145" t="s">
        <v>1</v>
      </c>
      <c r="D24" s="146"/>
      <c r="E24" s="148"/>
      <c r="F24" s="145" t="s">
        <v>1</v>
      </c>
      <c r="G24" s="146"/>
      <c r="H24" s="148"/>
      <c r="I24" s="145" t="s">
        <v>1</v>
      </c>
      <c r="J24" s="146"/>
      <c r="K24" s="148"/>
      <c r="L24" s="145" t="s">
        <v>1</v>
      </c>
      <c r="M24" s="146"/>
      <c r="N24" s="148"/>
      <c r="O24" s="145" t="s">
        <v>1</v>
      </c>
      <c r="P24" s="146"/>
      <c r="Q24" s="17"/>
      <c r="S24" s="61">
        <v>1795</v>
      </c>
      <c r="T24" s="61">
        <v>1213</v>
      </c>
      <c r="U24" s="61">
        <v>1500</v>
      </c>
      <c r="V24" s="61">
        <v>1500</v>
      </c>
      <c r="W24" s="61">
        <v>500</v>
      </c>
      <c r="X24" s="61">
        <f>SUM(S24:W24)</f>
        <v>6508</v>
      </c>
      <c r="AA24" t="s">
        <v>50</v>
      </c>
      <c r="AB24" s="61">
        <v>640</v>
      </c>
    </row>
    <row r="25" spans="1:37" x14ac:dyDescent="0.2">
      <c r="A25" s="17"/>
      <c r="B25" s="2" t="s">
        <v>2</v>
      </c>
      <c r="C25" s="43">
        <v>-550</v>
      </c>
      <c r="D25" s="7"/>
      <c r="E25" s="2" t="s">
        <v>2</v>
      </c>
      <c r="F25" s="47">
        <v>-550</v>
      </c>
      <c r="G25" s="7"/>
      <c r="H25" s="2" t="s">
        <v>2</v>
      </c>
      <c r="I25" s="47">
        <v>-550</v>
      </c>
      <c r="J25" s="7"/>
      <c r="K25" s="2" t="s">
        <v>2</v>
      </c>
      <c r="L25" s="47">
        <v>-550</v>
      </c>
      <c r="M25" s="7"/>
      <c r="N25" s="2" t="s">
        <v>2</v>
      </c>
      <c r="O25" s="47">
        <v>-550</v>
      </c>
      <c r="P25" s="7"/>
      <c r="Q25" s="17"/>
      <c r="S25" t="s">
        <v>46</v>
      </c>
      <c r="T25" t="s">
        <v>46</v>
      </c>
      <c r="U25" t="s">
        <v>47</v>
      </c>
      <c r="W25" t="s">
        <v>48</v>
      </c>
      <c r="AA25" t="s">
        <v>49</v>
      </c>
      <c r="AB25" s="61">
        <v>360</v>
      </c>
    </row>
    <row r="26" spans="1:37" x14ac:dyDescent="0.2">
      <c r="A26" s="17"/>
      <c r="B26" s="2" t="s">
        <v>3</v>
      </c>
      <c r="C26" s="7"/>
      <c r="D26" s="43">
        <v>-270</v>
      </c>
      <c r="E26" s="2" t="s">
        <v>3</v>
      </c>
      <c r="F26" s="7"/>
      <c r="G26" s="47">
        <v>-244</v>
      </c>
      <c r="H26" s="2" t="s">
        <v>3</v>
      </c>
      <c r="I26" s="7"/>
      <c r="J26" s="47">
        <v>-300</v>
      </c>
      <c r="K26" s="2" t="s">
        <v>3</v>
      </c>
      <c r="L26" s="7"/>
      <c r="M26" s="47">
        <v>-390</v>
      </c>
      <c r="N26" s="2" t="s">
        <v>3</v>
      </c>
      <c r="O26" s="7"/>
      <c r="P26" s="6">
        <v>-400</v>
      </c>
      <c r="Q26" s="17"/>
      <c r="S26" s="13">
        <f>SUM(O25,O28,O30,O35)</f>
        <v>-1502</v>
      </c>
      <c r="T26" s="13">
        <f>SUM(P26,P27,P29,P32)</f>
        <v>-1200</v>
      </c>
      <c r="U26" s="13">
        <f>SUM(O33,O34,O36)</f>
        <v>-914</v>
      </c>
      <c r="W26" s="61">
        <v>-500</v>
      </c>
      <c r="X26" s="13">
        <f>SUM(S26:W26)</f>
        <v>-4116</v>
      </c>
      <c r="AA26" t="s">
        <v>52</v>
      </c>
      <c r="AB26" s="61">
        <v>900</v>
      </c>
    </row>
    <row r="27" spans="1:37" x14ac:dyDescent="0.2">
      <c r="A27" s="17"/>
      <c r="B27" s="2" t="s">
        <v>4</v>
      </c>
      <c r="C27" s="7"/>
      <c r="D27" s="43">
        <v>-72.25</v>
      </c>
      <c r="E27" s="2" t="s">
        <v>4</v>
      </c>
      <c r="F27" s="7"/>
      <c r="G27" s="47">
        <v>-70</v>
      </c>
      <c r="H27" s="2" t="s">
        <v>4</v>
      </c>
      <c r="I27" s="7"/>
      <c r="J27" s="47">
        <v>-60</v>
      </c>
      <c r="K27" s="2" t="s">
        <v>4</v>
      </c>
      <c r="L27" s="7"/>
      <c r="M27" s="47">
        <v>-60</v>
      </c>
      <c r="N27" s="2" t="s">
        <v>4</v>
      </c>
      <c r="O27" s="7"/>
      <c r="P27" s="6">
        <v>-70</v>
      </c>
      <c r="Q27" s="17"/>
      <c r="W27" t="s">
        <v>14</v>
      </c>
      <c r="X27" s="13">
        <f>SUM(X24,X26)</f>
        <v>2392</v>
      </c>
      <c r="AA27" t="s">
        <v>53</v>
      </c>
      <c r="AB27" s="61">
        <v>400</v>
      </c>
    </row>
    <row r="28" spans="1:37" x14ac:dyDescent="0.2">
      <c r="A28" s="17"/>
      <c r="B28" s="2" t="s">
        <v>5</v>
      </c>
      <c r="C28" s="43">
        <v>-210</v>
      </c>
      <c r="D28" s="7"/>
      <c r="E28" s="2" t="s">
        <v>5</v>
      </c>
      <c r="F28" s="47">
        <v>-210</v>
      </c>
      <c r="G28" s="7"/>
      <c r="H28" s="2" t="s">
        <v>5</v>
      </c>
      <c r="I28" s="47">
        <v>-230</v>
      </c>
      <c r="J28" s="7"/>
      <c r="K28" s="2" t="s">
        <v>5</v>
      </c>
      <c r="L28" s="47">
        <v>-210</v>
      </c>
      <c r="M28" s="7"/>
      <c r="N28" s="2" t="s">
        <v>5</v>
      </c>
      <c r="O28" s="47">
        <v>-210</v>
      </c>
      <c r="P28" s="7"/>
      <c r="Q28" s="17"/>
      <c r="AA28" t="s">
        <v>54</v>
      </c>
      <c r="AB28" s="61">
        <v>250</v>
      </c>
    </row>
    <row r="29" spans="1:37" x14ac:dyDescent="0.2">
      <c r="A29" s="17"/>
      <c r="B29" s="2" t="s">
        <v>12</v>
      </c>
      <c r="D29" s="16"/>
      <c r="E29" s="2" t="s">
        <v>12</v>
      </c>
      <c r="G29" s="7"/>
      <c r="H29" s="2" t="s">
        <v>12</v>
      </c>
      <c r="J29" s="47">
        <v>-30</v>
      </c>
      <c r="K29" s="2" t="s">
        <v>12</v>
      </c>
      <c r="L29" s="7"/>
      <c r="M29" s="7"/>
      <c r="N29" s="2" t="s">
        <v>12</v>
      </c>
      <c r="O29" s="7"/>
      <c r="P29" s="6">
        <v>-30</v>
      </c>
      <c r="Q29" s="17"/>
      <c r="AA29" t="s">
        <v>55</v>
      </c>
    </row>
    <row r="30" spans="1:37" x14ac:dyDescent="0.2">
      <c r="A30" s="17"/>
      <c r="B30" s="2" t="s">
        <v>32</v>
      </c>
      <c r="C30" s="43">
        <v>-186</v>
      </c>
      <c r="E30" s="2" t="s">
        <v>32</v>
      </c>
      <c r="F30" s="47">
        <v>-300</v>
      </c>
      <c r="G30" s="7"/>
      <c r="H30" s="2" t="s">
        <v>32</v>
      </c>
      <c r="I30" s="47">
        <v>-300</v>
      </c>
      <c r="J30" s="7"/>
      <c r="K30" s="2" t="s">
        <v>32</v>
      </c>
      <c r="L30" s="47">
        <v>-300</v>
      </c>
      <c r="N30" s="2" t="s">
        <v>32</v>
      </c>
      <c r="O30" s="47">
        <v>-392</v>
      </c>
      <c r="P30" s="7"/>
      <c r="Q30" s="17"/>
      <c r="S30" s="62"/>
    </row>
    <row r="31" spans="1:37" x14ac:dyDescent="0.2">
      <c r="A31" s="17"/>
      <c r="B31" s="2" t="s">
        <v>33</v>
      </c>
      <c r="C31" s="7"/>
      <c r="D31" s="43">
        <v>-640</v>
      </c>
      <c r="E31" s="2" t="s">
        <v>33</v>
      </c>
      <c r="F31" s="7"/>
      <c r="G31" s="47">
        <v>-694</v>
      </c>
      <c r="H31" s="2" t="s">
        <v>33</v>
      </c>
      <c r="I31" s="7"/>
      <c r="J31" s="47">
        <v>-600</v>
      </c>
      <c r="K31" s="2" t="s">
        <v>33</v>
      </c>
      <c r="L31" s="7"/>
      <c r="M31" s="47">
        <v>-667</v>
      </c>
      <c r="N31" s="2" t="s">
        <v>33</v>
      </c>
      <c r="O31" s="7"/>
      <c r="P31" s="7"/>
      <c r="Q31" s="17"/>
      <c r="S31" s="62"/>
      <c r="AA31" t="s">
        <v>9</v>
      </c>
      <c r="AB31" s="13">
        <f>SUM(AB24:AB28)</f>
        <v>2550</v>
      </c>
    </row>
    <row r="32" spans="1:37" x14ac:dyDescent="0.2">
      <c r="A32" s="17"/>
      <c r="B32" s="2" t="s">
        <v>34</v>
      </c>
      <c r="C32" s="44">
        <v>-45</v>
      </c>
      <c r="D32" s="7"/>
      <c r="E32" s="2" t="s">
        <v>38</v>
      </c>
      <c r="F32" s="7"/>
      <c r="G32" s="47">
        <v>-200</v>
      </c>
      <c r="H32" s="2" t="s">
        <v>38</v>
      </c>
      <c r="I32" s="47">
        <v>-200</v>
      </c>
      <c r="J32" s="47">
        <v>-50</v>
      </c>
      <c r="K32" s="2"/>
      <c r="L32" s="7"/>
      <c r="M32" s="7"/>
      <c r="N32" s="2" t="s">
        <v>33</v>
      </c>
      <c r="O32" s="5"/>
      <c r="P32" s="6">
        <v>-700</v>
      </c>
      <c r="Q32" s="17"/>
      <c r="S32" s="62"/>
    </row>
    <row r="33" spans="1:19" x14ac:dyDescent="0.2">
      <c r="A33" s="17"/>
      <c r="B33" s="2" t="s">
        <v>35</v>
      </c>
      <c r="C33" s="43">
        <v>-274</v>
      </c>
      <c r="D33" s="5"/>
      <c r="E33" s="2"/>
      <c r="F33" s="16"/>
      <c r="G33" s="29"/>
      <c r="H33" s="30"/>
      <c r="I33" s="48"/>
      <c r="J33" s="49"/>
      <c r="K33" s="30"/>
      <c r="L33" s="16"/>
      <c r="M33" s="29"/>
      <c r="N33" s="53" t="s">
        <v>40</v>
      </c>
      <c r="O33" s="63">
        <v>-454</v>
      </c>
      <c r="P33" s="5"/>
      <c r="Q33" s="17"/>
      <c r="S33" s="62"/>
    </row>
    <row r="34" spans="1:19" x14ac:dyDescent="0.2">
      <c r="A34" s="17"/>
      <c r="B34" s="2" t="s">
        <v>36</v>
      </c>
      <c r="C34" s="43">
        <v>-35</v>
      </c>
      <c r="D34" s="5"/>
      <c r="E34" s="5"/>
      <c r="F34" s="29"/>
      <c r="G34" s="29"/>
      <c r="H34" s="29"/>
      <c r="I34" s="29"/>
      <c r="J34" s="29"/>
      <c r="K34" s="29"/>
      <c r="L34" s="29"/>
      <c r="M34" s="29"/>
      <c r="N34" s="54" t="s">
        <v>41</v>
      </c>
      <c r="O34" s="47">
        <v>-250</v>
      </c>
      <c r="P34" s="45"/>
      <c r="Q34" s="17"/>
      <c r="S34" s="62"/>
    </row>
    <row r="35" spans="1:19" x14ac:dyDescent="0.2">
      <c r="A35" s="17"/>
      <c r="B35" s="46" t="s">
        <v>37</v>
      </c>
      <c r="C35" s="43">
        <v>-50</v>
      </c>
      <c r="D35" s="5"/>
      <c r="E35" s="5"/>
      <c r="F35" s="29"/>
      <c r="G35" s="29"/>
      <c r="H35" s="29"/>
      <c r="I35" s="29"/>
      <c r="J35" s="29"/>
      <c r="K35" s="29"/>
      <c r="L35" s="29"/>
      <c r="M35" s="29"/>
      <c r="N35" s="29" t="s">
        <v>4</v>
      </c>
      <c r="O35" s="47">
        <v>-350</v>
      </c>
      <c r="P35" s="5"/>
      <c r="Q35" s="17"/>
      <c r="S35" s="62"/>
    </row>
    <row r="36" spans="1:19" x14ac:dyDescent="0.2">
      <c r="A36" s="17"/>
      <c r="B36" s="2"/>
      <c r="C36" s="45"/>
      <c r="D36" s="5"/>
      <c r="E36" s="5"/>
      <c r="F36" s="29"/>
      <c r="G36" s="29"/>
      <c r="H36" s="29"/>
      <c r="I36" s="29"/>
      <c r="J36" s="29"/>
      <c r="K36" s="29"/>
      <c r="L36" s="29"/>
      <c r="M36" s="29"/>
      <c r="N36" s="29" t="s">
        <v>56</v>
      </c>
      <c r="O36" s="47">
        <v>-210</v>
      </c>
      <c r="P36" s="5"/>
      <c r="Q36" s="17"/>
      <c r="S36" s="62"/>
    </row>
    <row r="37" spans="1:19" ht="15.75" thickBot="1" x14ac:dyDescent="0.25">
      <c r="A37" s="17"/>
      <c r="B37" s="2"/>
      <c r="C37" s="45"/>
      <c r="D37" s="5"/>
      <c r="E37" s="2"/>
      <c r="F37" s="5"/>
      <c r="G37" s="5"/>
      <c r="H37" s="2"/>
      <c r="I37" s="5"/>
      <c r="J37" s="5"/>
      <c r="K37" s="2"/>
      <c r="L37" s="5"/>
      <c r="M37" s="5"/>
      <c r="N37" s="2"/>
      <c r="O37" s="5"/>
      <c r="P37" s="5"/>
      <c r="Q37" s="17"/>
      <c r="S37" s="62"/>
    </row>
    <row r="38" spans="1:19" ht="15.75" thickBot="1" x14ac:dyDescent="0.25">
      <c r="A38" s="17"/>
      <c r="B38" s="2" t="s">
        <v>9</v>
      </c>
      <c r="C38" s="14">
        <f>SUM(C25:C36)</f>
        <v>-1350</v>
      </c>
      <c r="D38" s="15">
        <f>SUM(D24:D32)</f>
        <v>-982.25</v>
      </c>
      <c r="E38" s="2" t="s">
        <v>9</v>
      </c>
      <c r="F38" s="14">
        <f>SUM(F25:F33)</f>
        <v>-1060</v>
      </c>
      <c r="G38" s="15">
        <f>SUM(G24:G32)</f>
        <v>-1208</v>
      </c>
      <c r="H38" s="2" t="s">
        <v>9</v>
      </c>
      <c r="I38" s="14">
        <f>SUM(I25:I33)</f>
        <v>-1280</v>
      </c>
      <c r="J38" s="15">
        <f>SUM(J24:J32)</f>
        <v>-1040</v>
      </c>
      <c r="K38" s="2" t="s">
        <v>9</v>
      </c>
      <c r="L38" s="14">
        <f>SUM(L25:L33)</f>
        <v>-1060</v>
      </c>
      <c r="M38" s="15">
        <f>SUM(M24:M32)</f>
        <v>-1117</v>
      </c>
      <c r="N38" s="2" t="s">
        <v>9</v>
      </c>
      <c r="O38" s="14">
        <f>SUM(O25:O35)</f>
        <v>-2206</v>
      </c>
      <c r="P38" s="39">
        <f>SUM(P24:P32)</f>
        <v>-1200</v>
      </c>
      <c r="Q38" s="40" t="s">
        <v>29</v>
      </c>
      <c r="R38" s="41">
        <f>SUM(C38+D38+F38+G38+I38+J38+L38+M38+O38+P38)</f>
        <v>-12503.25</v>
      </c>
      <c r="S38" s="62"/>
    </row>
    <row r="39" spans="1:19" x14ac:dyDescent="0.2">
      <c r="A39" s="17"/>
      <c r="B39" s="55"/>
      <c r="C39" s="56"/>
      <c r="D39" s="56"/>
      <c r="E39" s="55"/>
      <c r="F39" s="56"/>
      <c r="G39" s="56"/>
      <c r="H39" s="55"/>
      <c r="I39" s="56"/>
      <c r="J39" s="56"/>
      <c r="K39" s="55"/>
      <c r="L39" s="56"/>
      <c r="M39" s="56"/>
      <c r="N39" s="55"/>
      <c r="O39" s="56"/>
      <c r="P39" s="56"/>
      <c r="S39" s="62"/>
    </row>
    <row r="40" spans="1:19" x14ac:dyDescent="0.2">
      <c r="A40" s="57"/>
      <c r="B40" s="23" t="s">
        <v>13</v>
      </c>
      <c r="C40" s="8">
        <v>1600</v>
      </c>
      <c r="D40" s="9">
        <v>1200</v>
      </c>
      <c r="E40" s="23" t="s">
        <v>13</v>
      </c>
      <c r="F40" s="8">
        <v>1600</v>
      </c>
      <c r="G40" s="9">
        <v>1200</v>
      </c>
      <c r="H40" s="23" t="s">
        <v>13</v>
      </c>
      <c r="I40" s="8">
        <v>1600</v>
      </c>
      <c r="J40" s="9">
        <v>1200</v>
      </c>
      <c r="K40" s="23" t="s">
        <v>13</v>
      </c>
      <c r="L40" s="8">
        <v>1600</v>
      </c>
      <c r="M40" s="9">
        <v>1200</v>
      </c>
      <c r="N40" s="23" t="s">
        <v>13</v>
      </c>
      <c r="O40" s="50">
        <v>1600</v>
      </c>
      <c r="P40" s="50">
        <v>1200</v>
      </c>
      <c r="Q40" s="58" t="s">
        <v>30</v>
      </c>
      <c r="R40" s="13">
        <f>SUM(C40+D40+F40+G40+I40+J40+L40+M40+O40+P40)</f>
        <v>14000</v>
      </c>
      <c r="S40" s="62"/>
    </row>
    <row r="41" spans="1:19" x14ac:dyDescent="0.2">
      <c r="A41" s="57"/>
      <c r="B41" s="2" t="s">
        <v>14</v>
      </c>
      <c r="C41" s="10">
        <f>SUM(C40+C38)</f>
        <v>250</v>
      </c>
      <c r="D41" s="10">
        <f>SUM(D38:D40)</f>
        <v>217.75</v>
      </c>
      <c r="E41" s="2" t="s">
        <v>14</v>
      </c>
      <c r="F41" s="10">
        <f>SUM(F40+F38)</f>
        <v>540</v>
      </c>
      <c r="G41" s="10">
        <f>SUM(G38:G40)</f>
        <v>-8</v>
      </c>
      <c r="H41" s="2" t="s">
        <v>14</v>
      </c>
      <c r="I41" s="10">
        <f>SUM(I40+I38)</f>
        <v>320</v>
      </c>
      <c r="J41" s="10">
        <f>SUM(J38:J40)</f>
        <v>160</v>
      </c>
      <c r="K41" s="2" t="s">
        <v>14</v>
      </c>
      <c r="L41" s="10">
        <f>SUM(L40+L38)</f>
        <v>540</v>
      </c>
      <c r="M41" s="10">
        <f>SUM(M38:M40)</f>
        <v>83</v>
      </c>
      <c r="N41" s="2" t="s">
        <v>14</v>
      </c>
      <c r="O41" s="51">
        <f>SUM(O40+O42+O38)</f>
        <v>894</v>
      </c>
      <c r="P41" s="51" cm="1">
        <f t="array" ref="P41">SUM(P38+P42:P43+P40)</f>
        <v>2000</v>
      </c>
      <c r="Q41" s="59" t="s">
        <v>31</v>
      </c>
      <c r="R41" s="13">
        <f>SUM(C41+D41+F41+G41+I41+J41+L41+M41+O41+P41)</f>
        <v>4996.75</v>
      </c>
      <c r="S41" s="62"/>
    </row>
    <row r="42" spans="1:19" x14ac:dyDescent="0.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2" t="s">
        <v>39</v>
      </c>
      <c r="O42" s="52">
        <v>1500</v>
      </c>
      <c r="P42" s="52">
        <v>1500</v>
      </c>
      <c r="Q42" s="57"/>
      <c r="S42" s="62"/>
    </row>
    <row r="43" spans="1:19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2" t="s">
        <v>42</v>
      </c>
      <c r="O43" s="5"/>
      <c r="P43" s="45">
        <v>500</v>
      </c>
      <c r="Q43" s="5"/>
      <c r="S43" s="62"/>
    </row>
  </sheetData>
  <mergeCells count="31">
    <mergeCell ref="B4:B5"/>
    <mergeCell ref="E4:E5"/>
    <mergeCell ref="H4:H5"/>
    <mergeCell ref="K4:K5"/>
    <mergeCell ref="N4:N5"/>
    <mergeCell ref="C5:D5"/>
    <mergeCell ref="B3:D3"/>
    <mergeCell ref="E3:G3"/>
    <mergeCell ref="H3:J3"/>
    <mergeCell ref="K3:M3"/>
    <mergeCell ref="N3:P3"/>
    <mergeCell ref="B23:B24"/>
    <mergeCell ref="E23:E24"/>
    <mergeCell ref="H23:H24"/>
    <mergeCell ref="H22:J22"/>
    <mergeCell ref="C24:D24"/>
    <mergeCell ref="F24:G24"/>
    <mergeCell ref="I24:J24"/>
    <mergeCell ref="B22:D22"/>
    <mergeCell ref="E22:G22"/>
    <mergeCell ref="L24:M24"/>
    <mergeCell ref="O24:P24"/>
    <mergeCell ref="K23:K24"/>
    <mergeCell ref="N23:N24"/>
    <mergeCell ref="G1:K1"/>
    <mergeCell ref="F5:G5"/>
    <mergeCell ref="I5:J5"/>
    <mergeCell ref="L5:M5"/>
    <mergeCell ref="O5:P5"/>
    <mergeCell ref="K22:M22"/>
    <mergeCell ref="N22:P2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ED36-04E4-41C4-910F-3FD12E1C8780}">
  <dimension ref="A1:T56"/>
  <sheetViews>
    <sheetView topLeftCell="D1" zoomScale="119" zoomScaleNormal="115" workbookViewId="0">
      <selection activeCell="S33" sqref="S33"/>
    </sheetView>
  </sheetViews>
  <sheetFormatPr defaultColWidth="8.875" defaultRowHeight="15" x14ac:dyDescent="0.2"/>
  <cols>
    <col min="2" max="2" width="16.54296875" customWidth="1"/>
    <col min="3" max="4" width="12.10546875" bestFit="1" customWidth="1"/>
    <col min="5" max="5" width="25.828125" bestFit="1" customWidth="1"/>
    <col min="6" max="9" width="13.44921875" bestFit="1" customWidth="1"/>
    <col min="10" max="10" width="18.6953125" customWidth="1"/>
    <col min="11" max="11" width="13.44921875" bestFit="1" customWidth="1"/>
    <col min="12" max="13" width="12.64453125" bestFit="1" customWidth="1"/>
    <col min="14" max="14" width="18.0234375" bestFit="1" customWidth="1"/>
    <col min="15" max="16" width="12.64453125" bestFit="1" customWidth="1"/>
    <col min="17" max="17" width="16.140625" bestFit="1" customWidth="1"/>
    <col min="18" max="19" width="12.375" bestFit="1" customWidth="1"/>
  </cols>
  <sheetData>
    <row r="1" spans="1:20" ht="29.25" x14ac:dyDescent="0.4">
      <c r="A1" s="17"/>
      <c r="B1" s="17"/>
      <c r="C1" s="17"/>
      <c r="D1" s="17"/>
      <c r="E1" s="17"/>
      <c r="F1" s="17"/>
      <c r="G1" s="143" t="s">
        <v>26</v>
      </c>
      <c r="H1" s="143"/>
      <c r="I1" s="143"/>
      <c r="J1" s="143"/>
      <c r="K1" s="143"/>
      <c r="L1" s="143"/>
      <c r="M1" s="143"/>
      <c r="N1" s="143"/>
      <c r="O1" s="17"/>
      <c r="P1" s="17"/>
      <c r="Q1" s="17"/>
      <c r="R1" s="17"/>
      <c r="S1" s="17"/>
      <c r="T1" s="17"/>
    </row>
    <row r="2" spans="1:20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">
      <c r="A3" s="17"/>
      <c r="B3" s="156" t="s">
        <v>58</v>
      </c>
      <c r="C3" s="156"/>
      <c r="D3" s="156"/>
      <c r="E3" s="156" t="s">
        <v>59</v>
      </c>
      <c r="F3" s="156"/>
      <c r="G3" s="156"/>
      <c r="H3" s="156" t="s">
        <v>16</v>
      </c>
      <c r="I3" s="156"/>
      <c r="J3" s="156"/>
      <c r="K3" s="156" t="s">
        <v>17</v>
      </c>
      <c r="L3" s="156"/>
      <c r="M3" s="156"/>
      <c r="N3" s="156" t="s">
        <v>18</v>
      </c>
      <c r="O3" s="156"/>
      <c r="P3" s="156"/>
      <c r="Q3" s="161" t="s">
        <v>19</v>
      </c>
      <c r="R3" s="162"/>
      <c r="S3" s="163"/>
      <c r="T3" s="17"/>
    </row>
    <row r="4" spans="1:20" x14ac:dyDescent="0.2">
      <c r="A4" s="17"/>
      <c r="B4" s="147" t="s">
        <v>0</v>
      </c>
      <c r="C4" s="24" t="s">
        <v>10</v>
      </c>
      <c r="D4" s="24" t="s">
        <v>11</v>
      </c>
      <c r="E4" s="147" t="s">
        <v>0</v>
      </c>
      <c r="F4" s="24" t="s">
        <v>10</v>
      </c>
      <c r="G4" s="24" t="s">
        <v>11</v>
      </c>
      <c r="H4" s="147" t="s">
        <v>0</v>
      </c>
      <c r="I4" s="24" t="s">
        <v>10</v>
      </c>
      <c r="J4" s="24" t="s">
        <v>11</v>
      </c>
      <c r="K4" s="147" t="s">
        <v>0</v>
      </c>
      <c r="L4" s="24" t="s">
        <v>10</v>
      </c>
      <c r="M4" s="24" t="s">
        <v>11</v>
      </c>
      <c r="N4" s="147" t="s">
        <v>0</v>
      </c>
      <c r="O4" s="24" t="s">
        <v>10</v>
      </c>
      <c r="P4" s="24" t="s">
        <v>11</v>
      </c>
      <c r="Q4" s="157" t="s">
        <v>0</v>
      </c>
      <c r="R4" s="72" t="s">
        <v>10</v>
      </c>
      <c r="S4" s="72" t="s">
        <v>11</v>
      </c>
      <c r="T4" s="17"/>
    </row>
    <row r="5" spans="1:20" x14ac:dyDescent="0.2">
      <c r="A5" s="17"/>
      <c r="B5" s="148"/>
      <c r="C5" s="145" t="s">
        <v>1</v>
      </c>
      <c r="D5" s="146"/>
      <c r="E5" s="148"/>
      <c r="F5" s="145" t="s">
        <v>1</v>
      </c>
      <c r="G5" s="146"/>
      <c r="H5" s="148"/>
      <c r="I5" s="145" t="s">
        <v>1</v>
      </c>
      <c r="J5" s="146"/>
      <c r="K5" s="148"/>
      <c r="L5" s="145" t="s">
        <v>1</v>
      </c>
      <c r="M5" s="146"/>
      <c r="N5" s="148"/>
      <c r="O5" s="145" t="s">
        <v>1</v>
      </c>
      <c r="P5" s="146"/>
      <c r="Q5" s="158"/>
      <c r="R5" s="159" t="s">
        <v>1</v>
      </c>
      <c r="S5" s="160"/>
      <c r="T5" s="17"/>
    </row>
    <row r="6" spans="1:20" x14ac:dyDescent="0.2">
      <c r="A6" s="17"/>
      <c r="B6" s="65" t="s">
        <v>2</v>
      </c>
      <c r="C6" s="42">
        <v>-560</v>
      </c>
      <c r="D6" s="66"/>
      <c r="E6" s="65" t="s">
        <v>2</v>
      </c>
      <c r="F6" s="42">
        <v>-560</v>
      </c>
      <c r="G6" s="66"/>
      <c r="H6" s="65" t="s">
        <v>2</v>
      </c>
      <c r="I6" s="42">
        <v>-560</v>
      </c>
      <c r="J6" s="66"/>
      <c r="K6" s="80" t="s">
        <v>2</v>
      </c>
      <c r="L6" s="42">
        <v>-560</v>
      </c>
      <c r="M6" s="66"/>
      <c r="N6" s="65" t="s">
        <v>2</v>
      </c>
      <c r="O6" s="42">
        <v>-562</v>
      </c>
      <c r="P6" s="66"/>
      <c r="Q6" s="30" t="s">
        <v>2</v>
      </c>
      <c r="R6" s="42">
        <v>-620</v>
      </c>
      <c r="S6" s="66"/>
      <c r="T6" s="17"/>
    </row>
    <row r="7" spans="1:20" x14ac:dyDescent="0.2">
      <c r="A7" s="17"/>
      <c r="B7" s="65" t="s">
        <v>3</v>
      </c>
      <c r="C7" s="66"/>
      <c r="D7" s="42">
        <v>-371</v>
      </c>
      <c r="E7" s="65" t="s">
        <v>3</v>
      </c>
      <c r="F7" s="66"/>
      <c r="G7" s="42">
        <v>310</v>
      </c>
      <c r="H7" s="65" t="s">
        <v>3</v>
      </c>
      <c r="I7" s="66"/>
      <c r="J7" s="42">
        <v>-350</v>
      </c>
      <c r="K7" s="80" t="s">
        <v>3</v>
      </c>
      <c r="L7" s="66"/>
      <c r="M7" s="35">
        <v>-311</v>
      </c>
      <c r="N7" s="65" t="s">
        <v>3</v>
      </c>
      <c r="O7" s="42">
        <v>-311</v>
      </c>
      <c r="P7" s="42">
        <v>-350</v>
      </c>
      <c r="Q7" s="30" t="s">
        <v>3</v>
      </c>
      <c r="R7" s="66"/>
      <c r="S7" s="64">
        <v>-350</v>
      </c>
      <c r="T7" s="17"/>
    </row>
    <row r="8" spans="1:20" x14ac:dyDescent="0.2">
      <c r="A8" s="17"/>
      <c r="B8" s="65" t="s">
        <v>4</v>
      </c>
      <c r="C8" s="66"/>
      <c r="D8" s="42">
        <v>-60</v>
      </c>
      <c r="E8" s="65" t="s">
        <v>4</v>
      </c>
      <c r="F8" s="66"/>
      <c r="G8" s="42">
        <v>-60</v>
      </c>
      <c r="H8" s="65" t="s">
        <v>4</v>
      </c>
      <c r="I8" s="66"/>
      <c r="J8" s="42">
        <v>-60</v>
      </c>
      <c r="K8" s="80" t="s">
        <v>4</v>
      </c>
      <c r="L8" s="66"/>
      <c r="M8" s="35">
        <v>-60</v>
      </c>
      <c r="N8" s="65" t="s">
        <v>4</v>
      </c>
      <c r="O8" s="35">
        <v>-60</v>
      </c>
      <c r="P8" s="42">
        <v>-60</v>
      </c>
      <c r="Q8" s="30" t="s">
        <v>4</v>
      </c>
      <c r="R8" s="66"/>
      <c r="S8" s="64">
        <v>-60</v>
      </c>
      <c r="T8" s="17"/>
    </row>
    <row r="9" spans="1:20" x14ac:dyDescent="0.2">
      <c r="A9" s="17"/>
      <c r="B9" s="65" t="s">
        <v>5</v>
      </c>
      <c r="D9" s="42">
        <v>-232</v>
      </c>
      <c r="E9" s="65" t="s">
        <v>5</v>
      </c>
      <c r="F9" s="42">
        <v>-250</v>
      </c>
      <c r="G9" s="66"/>
      <c r="H9" s="3"/>
      <c r="I9" s="27"/>
      <c r="J9" s="27"/>
      <c r="K9" s="86"/>
      <c r="L9" s="27"/>
      <c r="M9" s="27"/>
      <c r="N9" s="3"/>
      <c r="O9" s="27"/>
      <c r="P9" s="27"/>
      <c r="Q9" s="2"/>
      <c r="R9" s="27"/>
      <c r="S9" s="27"/>
      <c r="T9" s="17"/>
    </row>
    <row r="10" spans="1:20" x14ac:dyDescent="0.2">
      <c r="A10" s="17"/>
      <c r="B10" s="65" t="s">
        <v>12</v>
      </c>
      <c r="C10" s="68"/>
      <c r="D10" s="66"/>
      <c r="E10" s="65" t="s">
        <v>12</v>
      </c>
      <c r="F10" s="68"/>
      <c r="G10" s="66"/>
      <c r="H10" s="65" t="s">
        <v>12</v>
      </c>
      <c r="I10" s="68"/>
      <c r="J10" s="66"/>
      <c r="K10" s="80" t="s">
        <v>12</v>
      </c>
      <c r="L10" s="68"/>
      <c r="M10" s="66"/>
      <c r="N10" s="65" t="s">
        <v>12</v>
      </c>
      <c r="O10" s="68"/>
      <c r="P10" s="35">
        <v>-200</v>
      </c>
      <c r="Q10" s="30" t="s">
        <v>12</v>
      </c>
      <c r="R10" s="68"/>
      <c r="S10" s="66"/>
      <c r="T10" s="17"/>
    </row>
    <row r="11" spans="1:20" x14ac:dyDescent="0.2">
      <c r="A11" s="17"/>
      <c r="B11" s="65" t="s">
        <v>57</v>
      </c>
      <c r="C11" s="42">
        <v>-400</v>
      </c>
      <c r="D11" s="66"/>
      <c r="E11" s="65" t="s">
        <v>57</v>
      </c>
      <c r="F11" s="42">
        <v>-309</v>
      </c>
      <c r="G11" s="66"/>
      <c r="H11" s="65" t="s">
        <v>57</v>
      </c>
      <c r="I11" s="42">
        <v>-309</v>
      </c>
      <c r="J11" s="66"/>
      <c r="K11" s="80" t="s">
        <v>57</v>
      </c>
      <c r="L11" s="42">
        <v>-309</v>
      </c>
      <c r="M11" s="66"/>
      <c r="N11" s="65" t="s">
        <v>57</v>
      </c>
      <c r="O11" s="42">
        <v>-309</v>
      </c>
      <c r="P11" s="66"/>
      <c r="Q11" s="80" t="s">
        <v>57</v>
      </c>
      <c r="R11" s="64">
        <v>-309</v>
      </c>
      <c r="S11" s="69"/>
      <c r="T11" s="17"/>
    </row>
    <row r="12" spans="1:20" x14ac:dyDescent="0.2">
      <c r="A12" s="17"/>
      <c r="B12" s="65" t="s">
        <v>33</v>
      </c>
      <c r="C12" s="66"/>
      <c r="D12" s="77">
        <v>-788</v>
      </c>
      <c r="E12" s="65"/>
      <c r="F12" s="66"/>
      <c r="G12" s="42">
        <v>-570</v>
      </c>
      <c r="H12" s="65" t="s">
        <v>60</v>
      </c>
      <c r="I12" s="42">
        <v>-350</v>
      </c>
      <c r="J12" s="27"/>
      <c r="K12" s="80" t="s">
        <v>61</v>
      </c>
      <c r="L12" s="42">
        <v>-250</v>
      </c>
      <c r="M12" s="68"/>
      <c r="N12" s="65"/>
      <c r="O12" s="66"/>
      <c r="P12" s="66"/>
      <c r="Q12" s="82" t="s">
        <v>62</v>
      </c>
      <c r="R12" s="48"/>
      <c r="S12" s="85"/>
      <c r="T12" s="17"/>
    </row>
    <row r="13" spans="1:20" x14ac:dyDescent="0.2">
      <c r="A13" s="17"/>
      <c r="B13" s="65"/>
      <c r="C13" s="66"/>
      <c r="D13" s="70"/>
      <c r="E13" s="65"/>
      <c r="F13" s="66"/>
      <c r="G13" s="66"/>
      <c r="H13" s="65"/>
      <c r="I13" s="66"/>
      <c r="J13" s="66"/>
      <c r="K13" s="80" t="s">
        <v>64</v>
      </c>
      <c r="L13" s="64">
        <v>-150</v>
      </c>
      <c r="M13" s="66"/>
      <c r="N13" s="65"/>
      <c r="O13" s="66"/>
      <c r="P13" s="66"/>
      <c r="Q13" s="82" t="s">
        <v>33</v>
      </c>
      <c r="R13" s="48"/>
      <c r="S13" s="81">
        <f>SUM(F45:F56)</f>
        <v>0</v>
      </c>
      <c r="T13" s="17"/>
    </row>
    <row r="14" spans="1:20" x14ac:dyDescent="0.2">
      <c r="A14" s="17"/>
      <c r="B14" s="65"/>
      <c r="C14" s="66"/>
      <c r="D14" s="68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8"/>
      <c r="Q14" s="73"/>
      <c r="R14" s="48"/>
      <c r="S14" s="49"/>
      <c r="T14" s="17"/>
    </row>
    <row r="15" spans="1:20" x14ac:dyDescent="0.2">
      <c r="A15" s="17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73"/>
      <c r="R15" s="48"/>
      <c r="S15" s="49"/>
      <c r="T15" s="17"/>
    </row>
    <row r="16" spans="1:20" x14ac:dyDescent="0.2">
      <c r="A16" s="17"/>
      <c r="B16" s="30"/>
      <c r="C16" s="29"/>
      <c r="D16" s="29"/>
      <c r="E16" s="30"/>
      <c r="F16" s="29"/>
      <c r="G16" s="29"/>
      <c r="H16" s="30"/>
      <c r="I16" s="29"/>
      <c r="K16" s="30"/>
      <c r="L16" s="29"/>
      <c r="M16" s="29"/>
      <c r="N16" s="30"/>
      <c r="O16" s="29"/>
      <c r="P16" s="29"/>
      <c r="Q16" s="74"/>
      <c r="R16" s="48"/>
      <c r="S16" s="49"/>
      <c r="T16" s="17"/>
    </row>
    <row r="17" spans="1:20" x14ac:dyDescent="0.2">
      <c r="A17" s="17"/>
      <c r="B17" s="30" t="s">
        <v>9</v>
      </c>
      <c r="C17" s="71">
        <f>SUM(C6:C14)</f>
        <v>-960</v>
      </c>
      <c r="D17" s="71">
        <f>SUM(D5:D13)</f>
        <v>-1451</v>
      </c>
      <c r="E17" s="30" t="s">
        <v>9</v>
      </c>
      <c r="F17" s="71">
        <f>SUM(F6:F13)</f>
        <v>-1119</v>
      </c>
      <c r="G17" s="71">
        <f>SUM(G5:G13)</f>
        <v>-320</v>
      </c>
      <c r="H17" s="30" t="s">
        <v>9</v>
      </c>
      <c r="I17" s="71">
        <f>SUM(I6:I13)</f>
        <v>-1219</v>
      </c>
      <c r="J17" s="71">
        <f>SUM(J5:J13)</f>
        <v>-410</v>
      </c>
      <c r="K17" s="30" t="s">
        <v>9</v>
      </c>
      <c r="L17" s="71">
        <f>SUM(L6:L13)</f>
        <v>-1269</v>
      </c>
      <c r="M17" s="71">
        <f>SUM(M5:M13)</f>
        <v>-371</v>
      </c>
      <c r="N17" s="30" t="s">
        <v>9</v>
      </c>
      <c r="O17" s="71">
        <f>SUM(O6:O13)</f>
        <v>-1242</v>
      </c>
      <c r="P17" s="71">
        <f>SUM(P5:P13)</f>
        <v>-610</v>
      </c>
      <c r="Q17" s="30" t="s">
        <v>9</v>
      </c>
      <c r="R17" s="71">
        <f>SUM(R6:R16)</f>
        <v>-929</v>
      </c>
      <c r="S17" s="71">
        <f>SUM(S5:S13)</f>
        <v>-410</v>
      </c>
      <c r="T17" s="17"/>
    </row>
    <row r="18" spans="1:20" x14ac:dyDescent="0.2">
      <c r="A18" s="17"/>
      <c r="B18" s="30"/>
      <c r="C18" s="29"/>
      <c r="D18" s="29"/>
      <c r="E18" s="30"/>
      <c r="F18" s="29"/>
      <c r="G18" s="29"/>
      <c r="H18" s="30"/>
      <c r="I18" s="29"/>
      <c r="J18" s="29"/>
      <c r="K18" s="30"/>
      <c r="L18" s="29"/>
      <c r="M18" s="29"/>
      <c r="N18" s="30"/>
      <c r="O18" s="29"/>
      <c r="P18" s="29"/>
      <c r="Q18" s="75"/>
      <c r="R18" s="76"/>
      <c r="S18" s="76"/>
      <c r="T18" s="17"/>
    </row>
    <row r="19" spans="1:20" x14ac:dyDescent="0.2">
      <c r="A19" s="17"/>
      <c r="B19" s="78" t="s">
        <v>13</v>
      </c>
      <c r="C19" s="8">
        <v>1400</v>
      </c>
      <c r="D19" s="9">
        <v>1240</v>
      </c>
      <c r="E19" s="78" t="s">
        <v>13</v>
      </c>
      <c r="F19" s="8">
        <v>1400</v>
      </c>
      <c r="G19" s="9">
        <v>1240</v>
      </c>
      <c r="H19" s="78" t="s">
        <v>13</v>
      </c>
      <c r="I19" s="8">
        <v>1600</v>
      </c>
      <c r="J19" s="9">
        <v>1240</v>
      </c>
      <c r="K19" s="78" t="s">
        <v>13</v>
      </c>
      <c r="L19" s="8">
        <v>1500</v>
      </c>
      <c r="M19" s="9">
        <v>1240</v>
      </c>
      <c r="N19" s="78" t="s">
        <v>13</v>
      </c>
      <c r="O19" s="8">
        <v>1700</v>
      </c>
      <c r="P19" s="9">
        <v>1240</v>
      </c>
      <c r="Q19" s="78" t="s">
        <v>13</v>
      </c>
      <c r="R19" s="8">
        <v>900</v>
      </c>
      <c r="S19" s="9">
        <v>1240</v>
      </c>
      <c r="T19" s="17"/>
    </row>
    <row r="20" spans="1:20" x14ac:dyDescent="0.2">
      <c r="A20" s="17"/>
      <c r="B20" s="79" t="s">
        <v>14</v>
      </c>
      <c r="C20" s="10">
        <f>SUM(C19+C17)</f>
        <v>440</v>
      </c>
      <c r="D20" s="10">
        <f>SUM(D17:D19)</f>
        <v>-211</v>
      </c>
      <c r="E20" s="79" t="s">
        <v>14</v>
      </c>
      <c r="F20" s="10">
        <f>SUM(F19+F17)</f>
        <v>281</v>
      </c>
      <c r="G20" s="10">
        <f>SUM(G17:G19)</f>
        <v>920</v>
      </c>
      <c r="H20" s="79" t="s">
        <v>14</v>
      </c>
      <c r="I20" s="10">
        <f>SUM(I19+I17)</f>
        <v>381</v>
      </c>
      <c r="J20" s="10">
        <f>SUM(J17:J19)</f>
        <v>830</v>
      </c>
      <c r="K20" s="79" t="s">
        <v>14</v>
      </c>
      <c r="L20" s="10">
        <f>SUM(L19+L17)</f>
        <v>231</v>
      </c>
      <c r="M20" s="10">
        <f>SUM(M17:M19)</f>
        <v>869</v>
      </c>
      <c r="N20" s="79" t="s">
        <v>14</v>
      </c>
      <c r="O20" s="10">
        <f>SUM(O19+O17)</f>
        <v>458</v>
      </c>
      <c r="P20" s="10">
        <f>SUM(P17:P19)</f>
        <v>630</v>
      </c>
      <c r="Q20" s="79" t="s">
        <v>14</v>
      </c>
      <c r="R20" s="10">
        <f>SUM(R19+R17)</f>
        <v>-29</v>
      </c>
      <c r="S20" s="10">
        <f>SUM(S17:S19)</f>
        <v>830</v>
      </c>
      <c r="T20" s="17"/>
    </row>
    <row r="21" spans="1:20" x14ac:dyDescent="0.2">
      <c r="A21" s="1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T21" s="17"/>
    </row>
    <row r="22" spans="1:20" x14ac:dyDescent="0.2">
      <c r="A22" s="17"/>
      <c r="B22" s="89" t="s">
        <v>20</v>
      </c>
      <c r="C22" s="90"/>
      <c r="D22" s="91"/>
      <c r="E22" s="18" t="s">
        <v>21</v>
      </c>
      <c r="F22" s="18"/>
      <c r="G22" s="18"/>
      <c r="H22" s="18" t="s">
        <v>22</v>
      </c>
      <c r="I22" s="18"/>
      <c r="J22" s="18"/>
      <c r="K22" s="149" t="s">
        <v>23</v>
      </c>
      <c r="L22" s="149"/>
      <c r="M22" s="149"/>
      <c r="N22" s="149" t="s">
        <v>24</v>
      </c>
      <c r="O22" s="149"/>
      <c r="P22" s="149"/>
      <c r="Q22" s="149" t="s">
        <v>25</v>
      </c>
      <c r="R22" s="149"/>
      <c r="S22" s="149"/>
      <c r="T22" s="17"/>
    </row>
    <row r="23" spans="1:20" x14ac:dyDescent="0.2">
      <c r="A23" s="17"/>
      <c r="B23" s="87" t="s">
        <v>0</v>
      </c>
      <c r="C23" s="18" t="s">
        <v>10</v>
      </c>
      <c r="D23" s="18" t="s">
        <v>11</v>
      </c>
      <c r="E23" s="87" t="s">
        <v>0</v>
      </c>
      <c r="F23" s="18" t="s">
        <v>10</v>
      </c>
      <c r="G23" s="18" t="s">
        <v>11</v>
      </c>
      <c r="H23" s="87" t="s">
        <v>0</v>
      </c>
      <c r="I23" s="18" t="s">
        <v>10</v>
      </c>
      <c r="J23" s="18" t="s">
        <v>11</v>
      </c>
      <c r="K23" s="147" t="s">
        <v>0</v>
      </c>
      <c r="L23" s="18" t="s">
        <v>10</v>
      </c>
      <c r="M23" s="18" t="s">
        <v>11</v>
      </c>
      <c r="N23" s="147" t="s">
        <v>0</v>
      </c>
      <c r="O23" s="18" t="s">
        <v>10</v>
      </c>
      <c r="P23" s="18" t="s">
        <v>11</v>
      </c>
      <c r="Q23" s="147" t="s">
        <v>0</v>
      </c>
      <c r="R23" s="18" t="s">
        <v>10</v>
      </c>
      <c r="S23" s="18" t="s">
        <v>11</v>
      </c>
      <c r="T23" s="17"/>
    </row>
    <row r="24" spans="1:20" x14ac:dyDescent="0.2">
      <c r="A24" s="17"/>
      <c r="B24" s="88"/>
      <c r="C24" s="145" t="s">
        <v>1</v>
      </c>
      <c r="D24" s="146"/>
      <c r="E24" s="88"/>
      <c r="F24" s="145" t="s">
        <v>1</v>
      </c>
      <c r="G24" s="146"/>
      <c r="H24" s="88"/>
      <c r="I24" s="145" t="s">
        <v>1</v>
      </c>
      <c r="J24" s="146"/>
      <c r="K24" s="148"/>
      <c r="L24" s="145" t="s">
        <v>1</v>
      </c>
      <c r="M24" s="146"/>
      <c r="N24" s="148"/>
      <c r="O24" s="145" t="s">
        <v>1</v>
      </c>
      <c r="P24" s="146"/>
      <c r="Q24" s="148"/>
      <c r="R24" s="145" t="s">
        <v>1</v>
      </c>
      <c r="S24" s="146"/>
      <c r="T24" s="17"/>
    </row>
    <row r="25" spans="1:20" x14ac:dyDescent="0.2">
      <c r="A25" s="17"/>
      <c r="B25" s="30" t="s">
        <v>2</v>
      </c>
      <c r="C25" s="42">
        <v>-620</v>
      </c>
      <c r="D25" s="66"/>
      <c r="E25" s="30" t="s">
        <v>2</v>
      </c>
      <c r="F25" s="42">
        <v>-560</v>
      </c>
      <c r="G25" s="66"/>
      <c r="H25" s="30" t="s">
        <v>2</v>
      </c>
      <c r="I25" s="42">
        <v>-560</v>
      </c>
      <c r="J25" s="66"/>
      <c r="K25" s="30" t="s">
        <v>2</v>
      </c>
      <c r="L25" s="42">
        <v>-560</v>
      </c>
      <c r="M25" s="66"/>
      <c r="N25" s="30" t="s">
        <v>2</v>
      </c>
      <c r="O25" s="42">
        <v>-562</v>
      </c>
      <c r="P25" s="66"/>
      <c r="Q25" s="30" t="s">
        <v>2</v>
      </c>
      <c r="R25" s="42">
        <v>-560</v>
      </c>
      <c r="S25" s="66"/>
      <c r="T25" s="17"/>
    </row>
    <row r="26" spans="1:20" x14ac:dyDescent="0.2">
      <c r="A26" s="17"/>
      <c r="B26" s="30" t="s">
        <v>3</v>
      </c>
      <c r="C26" s="66"/>
      <c r="D26" s="27"/>
      <c r="E26" s="30" t="s">
        <v>3</v>
      </c>
      <c r="F26" s="66"/>
      <c r="G26" s="42">
        <v>-350</v>
      </c>
      <c r="H26" s="30" t="s">
        <v>3</v>
      </c>
      <c r="I26" s="42">
        <v>-391</v>
      </c>
      <c r="J26" s="77">
        <v>-380</v>
      </c>
      <c r="K26" s="30" t="s">
        <v>3</v>
      </c>
      <c r="L26" s="66"/>
      <c r="M26" s="27"/>
      <c r="N26" s="30" t="s">
        <v>3</v>
      </c>
      <c r="O26" s="42">
        <v>-450</v>
      </c>
      <c r="P26" s="42">
        <v>-290</v>
      </c>
      <c r="Q26" s="30" t="s">
        <v>3</v>
      </c>
      <c r="R26" s="66"/>
      <c r="S26" s="42">
        <v>-290</v>
      </c>
      <c r="T26" s="17"/>
    </row>
    <row r="27" spans="1:20" x14ac:dyDescent="0.2">
      <c r="A27" s="17"/>
      <c r="B27" s="30" t="s">
        <v>4</v>
      </c>
      <c r="C27" s="66"/>
      <c r="D27" s="42">
        <v>-60</v>
      </c>
      <c r="E27" s="30" t="s">
        <v>4</v>
      </c>
      <c r="F27" s="66"/>
      <c r="G27" s="42">
        <v>-60</v>
      </c>
      <c r="H27" s="30" t="s">
        <v>4</v>
      </c>
      <c r="I27" s="66"/>
      <c r="J27" s="42">
        <v>-49</v>
      </c>
      <c r="K27" s="30" t="s">
        <v>4</v>
      </c>
      <c r="L27" s="66"/>
      <c r="M27" s="42">
        <v>-60</v>
      </c>
      <c r="N27" s="30" t="s">
        <v>4</v>
      </c>
      <c r="O27" s="66"/>
      <c r="P27" s="42">
        <v>-60</v>
      </c>
      <c r="Q27" s="30" t="s">
        <v>4</v>
      </c>
      <c r="R27" s="66"/>
      <c r="S27" s="42">
        <v>-50</v>
      </c>
      <c r="T27" s="17"/>
    </row>
    <row r="28" spans="1:20" x14ac:dyDescent="0.2">
      <c r="A28" s="17"/>
      <c r="B28" s="30" t="s">
        <v>12</v>
      </c>
      <c r="C28" s="68"/>
      <c r="D28" s="66"/>
      <c r="E28" s="30" t="s">
        <v>12</v>
      </c>
      <c r="F28" s="68"/>
      <c r="G28" s="66"/>
      <c r="H28" s="30"/>
      <c r="I28" s="68"/>
      <c r="J28" s="66"/>
      <c r="K28" s="30" t="s">
        <v>12</v>
      </c>
      <c r="L28" s="68"/>
      <c r="M28" s="66"/>
      <c r="N28" s="30" t="s">
        <v>12</v>
      </c>
      <c r="O28" s="68"/>
      <c r="P28" s="66"/>
      <c r="Q28" s="30" t="s">
        <v>12</v>
      </c>
      <c r="R28" s="68"/>
      <c r="S28" s="66"/>
      <c r="T28" s="17"/>
    </row>
    <row r="29" spans="1:20" x14ac:dyDescent="0.2">
      <c r="A29" s="17"/>
      <c r="B29" s="80" t="s">
        <v>57</v>
      </c>
      <c r="C29" s="42">
        <v>-309</v>
      </c>
      <c r="D29" s="66"/>
      <c r="E29" s="65" t="s">
        <v>57</v>
      </c>
      <c r="F29" s="42">
        <v>-309</v>
      </c>
      <c r="G29" s="66"/>
      <c r="H29" s="65" t="s">
        <v>57</v>
      </c>
      <c r="I29" s="42">
        <v>-360</v>
      </c>
      <c r="J29" s="69"/>
      <c r="K29" s="80" t="s">
        <v>57</v>
      </c>
      <c r="L29" s="42">
        <v>-309</v>
      </c>
      <c r="M29" s="16"/>
      <c r="N29" s="80" t="s">
        <v>57</v>
      </c>
      <c r="O29" s="42">
        <v>-309</v>
      </c>
      <c r="P29" s="16"/>
      <c r="Q29" s="80" t="s">
        <v>57</v>
      </c>
      <c r="R29" s="27"/>
      <c r="S29" s="16"/>
      <c r="T29" s="17"/>
    </row>
    <row r="30" spans="1:20" x14ac:dyDescent="0.2">
      <c r="A30" s="17"/>
      <c r="B30" s="82" t="s">
        <v>62</v>
      </c>
      <c r="C30" s="48"/>
      <c r="D30" s="94">
        <v>172</v>
      </c>
      <c r="E30" s="82" t="s">
        <v>62</v>
      </c>
      <c r="G30" s="94">
        <v>-170</v>
      </c>
      <c r="H30" s="83" t="s">
        <v>12</v>
      </c>
      <c r="I30" s="95">
        <v>-60.02</v>
      </c>
      <c r="J30" s="48"/>
      <c r="K30" s="30" t="s">
        <v>70</v>
      </c>
      <c r="L30" s="48"/>
      <c r="M30" s="98">
        <v>-250</v>
      </c>
      <c r="N30" s="83" t="s">
        <v>82</v>
      </c>
      <c r="O30" s="95">
        <v>-550</v>
      </c>
      <c r="P30" s="48"/>
      <c r="Q30" s="83" t="s">
        <v>82</v>
      </c>
      <c r="R30" s="95">
        <v>-550</v>
      </c>
      <c r="S30" s="48"/>
      <c r="T30" s="17"/>
    </row>
    <row r="31" spans="1:20" x14ac:dyDescent="0.2">
      <c r="A31" s="17"/>
      <c r="B31" s="82"/>
      <c r="D31" s="85"/>
      <c r="E31" s="82"/>
      <c r="G31" s="94">
        <v>16.899999999999999</v>
      </c>
      <c r="H31" s="82" t="s">
        <v>63</v>
      </c>
      <c r="J31" s="94">
        <v>24.9</v>
      </c>
      <c r="K31" s="82" t="s">
        <v>63</v>
      </c>
      <c r="M31" s="94">
        <v>-24.9</v>
      </c>
      <c r="N31" s="83" t="s">
        <v>32</v>
      </c>
      <c r="O31" s="95">
        <f>SUM(CartaoMais!B2:B14)</f>
        <v>-484.07</v>
      </c>
      <c r="P31" s="49"/>
      <c r="Q31" s="83" t="s">
        <v>32</v>
      </c>
      <c r="R31" s="95">
        <v>-596</v>
      </c>
      <c r="S31" s="49"/>
      <c r="T31" s="17"/>
    </row>
    <row r="32" spans="1:20" x14ac:dyDescent="0.2">
      <c r="A32" s="17"/>
      <c r="B32" s="83"/>
      <c r="C32" s="92"/>
      <c r="D32" s="49"/>
      <c r="E32" s="83"/>
      <c r="F32" s="92"/>
      <c r="G32" s="49"/>
      <c r="H32" s="83" t="s">
        <v>32</v>
      </c>
      <c r="I32" s="95">
        <v>-130</v>
      </c>
      <c r="J32" s="97"/>
      <c r="K32" s="83" t="s">
        <v>32</v>
      </c>
      <c r="L32" s="95">
        <v>-357</v>
      </c>
      <c r="M32" s="49"/>
      <c r="N32" s="83" t="s">
        <v>33</v>
      </c>
      <c r="O32" s="92"/>
      <c r="P32" s="95">
        <f>SUM(CartaoNeon!B2:B10)</f>
        <v>-457.93</v>
      </c>
      <c r="Q32" s="83" t="s">
        <v>33</v>
      </c>
      <c r="R32" s="92"/>
      <c r="S32" s="95">
        <f>SUM(CartaoNeon!E2:E10)</f>
        <v>-697.09</v>
      </c>
      <c r="T32" s="17"/>
    </row>
    <row r="33" spans="1:20" x14ac:dyDescent="0.2">
      <c r="A33" s="17"/>
      <c r="B33" s="83"/>
      <c r="C33" s="92"/>
      <c r="D33" s="92"/>
      <c r="E33" s="83"/>
      <c r="F33" s="92"/>
      <c r="G33" s="95">
        <v>-150</v>
      </c>
      <c r="H33" s="83" t="s">
        <v>33</v>
      </c>
      <c r="I33" s="92"/>
      <c r="J33" s="95">
        <v>-700</v>
      </c>
      <c r="K33" s="83" t="s">
        <v>33</v>
      </c>
      <c r="L33" s="92"/>
      <c r="M33" s="95">
        <v>-800</v>
      </c>
      <c r="N33" s="83" t="s">
        <v>69</v>
      </c>
      <c r="O33" s="92"/>
      <c r="P33" s="110">
        <v>-140</v>
      </c>
      <c r="Q33" s="83" t="s">
        <v>69</v>
      </c>
      <c r="R33" s="92"/>
      <c r="S33" s="95">
        <v>-140</v>
      </c>
      <c r="T33" s="17"/>
    </row>
    <row r="34" spans="1:20" x14ac:dyDescent="0.2">
      <c r="A34" s="17"/>
      <c r="B34" s="83"/>
      <c r="C34" s="92"/>
      <c r="D34" s="92"/>
      <c r="E34" s="83" t="s">
        <v>66</v>
      </c>
      <c r="F34" s="95">
        <v>-78.56</v>
      </c>
      <c r="G34" s="95">
        <v>-40</v>
      </c>
      <c r="H34" s="83"/>
      <c r="I34" s="92"/>
      <c r="J34" s="92"/>
      <c r="K34" s="83" t="s">
        <v>67</v>
      </c>
      <c r="L34" s="95">
        <v>-150</v>
      </c>
      <c r="M34" s="92"/>
      <c r="N34" s="83"/>
      <c r="O34" s="92"/>
      <c r="P34" s="92"/>
      <c r="Q34" s="5"/>
      <c r="R34" s="5"/>
      <c r="S34" s="5"/>
      <c r="T34" s="17"/>
    </row>
    <row r="35" spans="1:20" x14ac:dyDescent="0.2">
      <c r="A35" s="17"/>
      <c r="B35" s="84" t="s">
        <v>65</v>
      </c>
      <c r="C35" s="93"/>
      <c r="D35" s="96">
        <v>-800</v>
      </c>
      <c r="E35" s="84"/>
      <c r="F35" s="93"/>
      <c r="G35" s="93"/>
      <c r="H35" s="84"/>
      <c r="I35" s="93"/>
      <c r="J35" s="93"/>
      <c r="K35" s="84" t="s">
        <v>68</v>
      </c>
      <c r="L35" s="96">
        <v>-100</v>
      </c>
      <c r="M35" s="93"/>
      <c r="N35" s="5"/>
      <c r="O35" s="5"/>
      <c r="P35" s="5"/>
      <c r="Q35" s="83"/>
      <c r="R35" s="92"/>
      <c r="S35" s="92"/>
      <c r="T35" s="17"/>
    </row>
    <row r="36" spans="1:20" x14ac:dyDescent="0.2">
      <c r="A36" s="17"/>
      <c r="B36" s="30" t="s">
        <v>9</v>
      </c>
      <c r="C36" s="71">
        <f>SUM(C25:C35)</f>
        <v>-929</v>
      </c>
      <c r="D36" s="71">
        <f>SUM(D24:D35)</f>
        <v>-688</v>
      </c>
      <c r="E36" s="30" t="s">
        <v>9</v>
      </c>
      <c r="F36" s="71">
        <f>SUM(F25:F34)</f>
        <v>-947.56</v>
      </c>
      <c r="G36" s="71">
        <f>SUM(G24:G34)</f>
        <v>-753.1</v>
      </c>
      <c r="H36" s="30" t="s">
        <v>9</v>
      </c>
      <c r="I36" s="71">
        <f>SUM(I25:I34)</f>
        <v>-1501.02</v>
      </c>
      <c r="J36" s="71">
        <f>SUM(J24:J34)</f>
        <v>-1104.0999999999999</v>
      </c>
      <c r="K36" s="30" t="s">
        <v>9</v>
      </c>
      <c r="L36" s="71">
        <f>SUM(L25:L35)</f>
        <v>-1476</v>
      </c>
      <c r="M36" s="71">
        <f>SUM(M24:M34)</f>
        <v>-1134.9000000000001</v>
      </c>
      <c r="N36" s="30" t="s">
        <v>9</v>
      </c>
      <c r="O36" s="71">
        <f>SUM(O25:O34)</f>
        <v>-2355.0700000000002</v>
      </c>
      <c r="P36" s="71">
        <f>SUM(P24:P34)</f>
        <v>-947.93000000000006</v>
      </c>
      <c r="Q36" s="30" t="s">
        <v>9</v>
      </c>
      <c r="R36" s="71">
        <f>SUM(R25:R35)</f>
        <v>-1706</v>
      </c>
      <c r="S36" s="71">
        <f>SUM(S24:S35)</f>
        <v>-1177.0900000000001</v>
      </c>
      <c r="T36" s="17"/>
    </row>
    <row r="37" spans="1:20" x14ac:dyDescent="0.2">
      <c r="A37" s="17"/>
      <c r="B37" s="75"/>
      <c r="C37" s="76"/>
      <c r="D37" s="76"/>
      <c r="E37" s="75"/>
      <c r="F37" s="76"/>
      <c r="G37" s="76"/>
      <c r="H37" s="75"/>
      <c r="I37" s="76"/>
      <c r="J37" s="76"/>
      <c r="K37" s="75"/>
      <c r="L37" s="76"/>
      <c r="M37" s="76"/>
      <c r="N37" s="75"/>
      <c r="O37" s="76"/>
      <c r="P37" s="76"/>
      <c r="Q37" s="75"/>
      <c r="R37" s="76"/>
      <c r="S37" s="76"/>
      <c r="T37" s="17"/>
    </row>
    <row r="38" spans="1:20" x14ac:dyDescent="0.2">
      <c r="A38" s="57"/>
      <c r="B38" s="78" t="s">
        <v>13</v>
      </c>
      <c r="C38" s="8">
        <v>1600</v>
      </c>
      <c r="D38" s="9">
        <v>1240</v>
      </c>
      <c r="E38" s="78" t="s">
        <v>13</v>
      </c>
      <c r="F38" s="8">
        <v>1600</v>
      </c>
      <c r="G38" s="9">
        <v>1240</v>
      </c>
      <c r="H38" s="78" t="s">
        <v>13</v>
      </c>
      <c r="I38" s="8">
        <v>2000</v>
      </c>
      <c r="J38" s="9">
        <v>1240</v>
      </c>
      <c r="K38" s="78" t="s">
        <v>13</v>
      </c>
      <c r="L38" s="50">
        <v>2000</v>
      </c>
      <c r="M38" s="9">
        <v>1240</v>
      </c>
      <c r="N38" s="78" t="s">
        <v>13</v>
      </c>
      <c r="O38" s="50">
        <v>2000</v>
      </c>
      <c r="P38" s="9">
        <v>1240</v>
      </c>
      <c r="Q38" s="78" t="s">
        <v>13</v>
      </c>
      <c r="R38" s="50">
        <v>2000</v>
      </c>
      <c r="S38" s="9">
        <v>1240</v>
      </c>
      <c r="T38" s="17"/>
    </row>
    <row r="39" spans="1:20" x14ac:dyDescent="0.2">
      <c r="A39" s="57"/>
      <c r="B39" s="79" t="s">
        <v>14</v>
      </c>
      <c r="C39" s="10">
        <f>SUM(C38+C36)</f>
        <v>671</v>
      </c>
      <c r="D39" s="10">
        <f>SUM(D36:D38)</f>
        <v>552</v>
      </c>
      <c r="E39" s="79" t="s">
        <v>14</v>
      </c>
      <c r="F39" s="10">
        <f>SUM(F38+F36)</f>
        <v>652.44000000000005</v>
      </c>
      <c r="G39" s="10">
        <f>SUM(G36:G38)</f>
        <v>486.9</v>
      </c>
      <c r="H39" s="79" t="s">
        <v>14</v>
      </c>
      <c r="I39" s="10">
        <f>SUM(I38+I36)</f>
        <v>498.98</v>
      </c>
      <c r="J39" s="10">
        <f>SUM(J36:J38)</f>
        <v>135.90000000000009</v>
      </c>
      <c r="K39" s="79" t="s">
        <v>14</v>
      </c>
      <c r="L39" s="51">
        <f>SUM(L38+O40+L36)</f>
        <v>524</v>
      </c>
      <c r="M39" s="51" cm="1">
        <f t="array" ref="M39">SUM(M36+P40:P41+M38)</f>
        <v>210.19999999999982</v>
      </c>
      <c r="N39" s="79" t="s">
        <v>14</v>
      </c>
      <c r="O39" s="51">
        <f>SUM(O38+R40+O36)</f>
        <v>-355.07000000000016</v>
      </c>
      <c r="P39" s="51" cm="1">
        <f t="array" ref="P39">SUM(P36+S40:S41+P38)</f>
        <v>584.13999999999987</v>
      </c>
      <c r="Q39" s="79" t="s">
        <v>14</v>
      </c>
      <c r="R39" s="51">
        <f>SUM(R38+U40+R36)</f>
        <v>294</v>
      </c>
      <c r="S39" s="51" cm="1">
        <f t="array" ref="S39">SUM(S36+V40:V41+S38)</f>
        <v>125.81999999999971</v>
      </c>
      <c r="T39" s="17"/>
    </row>
    <row r="40" spans="1:20" x14ac:dyDescent="0.2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9"/>
      <c r="O40" s="52"/>
      <c r="P40" s="52"/>
      <c r="Q40" s="57"/>
      <c r="R40" s="17"/>
      <c r="S40" s="17"/>
      <c r="T40" s="17"/>
    </row>
    <row r="41" spans="1:20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2"/>
      <c r="O41" s="5"/>
      <c r="P41" s="45"/>
      <c r="Q41" s="5"/>
      <c r="R41" s="5"/>
      <c r="S41" s="5"/>
      <c r="T41" s="5"/>
    </row>
    <row r="43" spans="1:20" x14ac:dyDescent="0.2">
      <c r="E43" s="28"/>
      <c r="F43" s="28"/>
      <c r="G43" s="28"/>
      <c r="H43" s="28"/>
      <c r="I43" s="28"/>
      <c r="J43" s="28"/>
      <c r="K43" s="28"/>
    </row>
    <row r="44" spans="1:20" x14ac:dyDescent="0.2">
      <c r="E44" s="28"/>
      <c r="F44" s="28"/>
      <c r="G44" s="28"/>
      <c r="H44" s="28"/>
      <c r="I44" s="28"/>
      <c r="J44" s="28"/>
      <c r="K44" s="28"/>
    </row>
    <row r="45" spans="1:20" x14ac:dyDescent="0.2">
      <c r="F45" s="61"/>
    </row>
    <row r="46" spans="1:20" x14ac:dyDescent="0.2">
      <c r="F46" s="61"/>
    </row>
    <row r="47" spans="1:20" x14ac:dyDescent="0.2">
      <c r="F47" s="61"/>
    </row>
    <row r="48" spans="1:20" x14ac:dyDescent="0.2">
      <c r="F48" s="61"/>
    </row>
    <row r="49" spans="6:6" x14ac:dyDescent="0.2">
      <c r="F49" s="61"/>
    </row>
    <row r="50" spans="6:6" x14ac:dyDescent="0.2">
      <c r="F50" s="61"/>
    </row>
    <row r="51" spans="6:6" x14ac:dyDescent="0.2">
      <c r="F51" s="61"/>
    </row>
    <row r="52" spans="6:6" x14ac:dyDescent="0.2">
      <c r="F52" s="61"/>
    </row>
    <row r="53" spans="6:6" x14ac:dyDescent="0.2">
      <c r="F53" s="61"/>
    </row>
    <row r="54" spans="6:6" x14ac:dyDescent="0.2">
      <c r="F54" s="61"/>
    </row>
    <row r="55" spans="6:6" x14ac:dyDescent="0.2">
      <c r="F55" s="61"/>
    </row>
    <row r="56" spans="6:6" x14ac:dyDescent="0.2">
      <c r="F56" s="61"/>
    </row>
  </sheetData>
  <mergeCells count="31">
    <mergeCell ref="G1:N1"/>
    <mergeCell ref="Q3:S3"/>
    <mergeCell ref="K22:M22"/>
    <mergeCell ref="B4:B5"/>
    <mergeCell ref="E4:E5"/>
    <mergeCell ref="H4:H5"/>
    <mergeCell ref="K4:K5"/>
    <mergeCell ref="N4:N5"/>
    <mergeCell ref="C5:D5"/>
    <mergeCell ref="F5:G5"/>
    <mergeCell ref="I5:J5"/>
    <mergeCell ref="L5:M5"/>
    <mergeCell ref="N3:P3"/>
    <mergeCell ref="B3:D3"/>
    <mergeCell ref="E3:G3"/>
    <mergeCell ref="H3:J3"/>
    <mergeCell ref="Q4:Q5"/>
    <mergeCell ref="K23:K24"/>
    <mergeCell ref="R5:S5"/>
    <mergeCell ref="N22:P22"/>
    <mergeCell ref="N23:N24"/>
    <mergeCell ref="O24:P24"/>
    <mergeCell ref="Q22:S22"/>
    <mergeCell ref="Q23:Q24"/>
    <mergeCell ref="R24:S24"/>
    <mergeCell ref="O5:P5"/>
    <mergeCell ref="C24:D24"/>
    <mergeCell ref="F24:G24"/>
    <mergeCell ref="I24:J24"/>
    <mergeCell ref="K3:M3"/>
    <mergeCell ref="L24:M24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E540-9ED5-384D-9A7B-3EBD90038E7E}">
  <dimension ref="A1:V47"/>
  <sheetViews>
    <sheetView tabSelected="1" topLeftCell="N1" zoomScale="115" zoomScaleNormal="120" workbookViewId="0">
      <selection activeCell="Q18" sqref="Q18"/>
    </sheetView>
  </sheetViews>
  <sheetFormatPr defaultColWidth="10.89453125" defaultRowHeight="15" x14ac:dyDescent="0.2"/>
  <cols>
    <col min="2" max="2" width="13.1796875" bestFit="1" customWidth="1"/>
    <col min="3" max="3" width="13.71875" bestFit="1" customWidth="1"/>
    <col min="4" max="4" width="11.43359375" bestFit="1" customWidth="1"/>
    <col min="5" max="5" width="14.66015625" bestFit="1" customWidth="1"/>
    <col min="6" max="7" width="11.43359375" bestFit="1" customWidth="1"/>
    <col min="8" max="8" width="12.10546875" bestFit="1" customWidth="1"/>
    <col min="9" max="10" width="11.43359375" bestFit="1" customWidth="1"/>
    <col min="11" max="11" width="13.71875" bestFit="1" customWidth="1"/>
    <col min="12" max="13" width="11.43359375" bestFit="1" customWidth="1"/>
    <col min="14" max="14" width="13.1796875" bestFit="1" customWidth="1"/>
    <col min="15" max="16" width="11.43359375" bestFit="1" customWidth="1"/>
    <col min="17" max="17" width="14.390625" bestFit="1" customWidth="1"/>
    <col min="18" max="19" width="11.43359375" bestFit="1" customWidth="1"/>
    <col min="21" max="21" width="16.0078125" bestFit="1" customWidth="1"/>
    <col min="22" max="22" width="15.19921875" bestFit="1" customWidth="1"/>
  </cols>
  <sheetData>
    <row r="1" spans="1:22" ht="29.25" x14ac:dyDescent="0.4">
      <c r="A1" s="17"/>
      <c r="B1" s="17"/>
      <c r="C1" s="17"/>
      <c r="D1" s="17"/>
      <c r="E1" s="17"/>
      <c r="F1" s="17"/>
      <c r="G1" s="143" t="s">
        <v>26</v>
      </c>
      <c r="H1" s="143"/>
      <c r="I1" s="143"/>
      <c r="J1" s="143"/>
      <c r="K1" s="143"/>
      <c r="L1" s="143"/>
      <c r="M1" s="143"/>
      <c r="N1" s="143"/>
      <c r="O1" s="17"/>
      <c r="P1" s="17"/>
      <c r="Q1" s="17"/>
      <c r="R1" s="17"/>
      <c r="S1" s="17"/>
      <c r="T1" s="17"/>
      <c r="U1" s="136" t="s">
        <v>101</v>
      </c>
      <c r="V1" s="136"/>
    </row>
    <row r="2" spans="1:22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t="s">
        <v>102</v>
      </c>
      <c r="V2" t="s">
        <v>103</v>
      </c>
    </row>
    <row r="3" spans="1:22" x14ac:dyDescent="0.2">
      <c r="A3" s="17"/>
      <c r="B3" s="144" t="s">
        <v>58</v>
      </c>
      <c r="C3" s="144"/>
      <c r="D3" s="144"/>
      <c r="E3" s="144" t="s">
        <v>59</v>
      </c>
      <c r="F3" s="144"/>
      <c r="G3" s="144"/>
      <c r="H3" s="144" t="s">
        <v>16</v>
      </c>
      <c r="I3" s="144"/>
      <c r="J3" s="144"/>
      <c r="K3" s="144" t="s">
        <v>17</v>
      </c>
      <c r="L3" s="144"/>
      <c r="M3" s="144"/>
      <c r="N3" s="144" t="s">
        <v>18</v>
      </c>
      <c r="O3" s="144"/>
      <c r="P3" s="144"/>
      <c r="Q3" s="140" t="s">
        <v>19</v>
      </c>
      <c r="R3" s="141"/>
      <c r="S3" s="142"/>
      <c r="T3" s="17"/>
      <c r="U3" s="13">
        <f>SUM(C24:D24:F24:G24:I24:J24:L24:M24:O24:P24:R24:S24)</f>
        <v>2882.01</v>
      </c>
      <c r="V3" s="13">
        <f>SUM(C45:D45:F45:G45:I45:J45:L45:M45:O45:P45:R45:S45)</f>
        <v>11638.7</v>
      </c>
    </row>
    <row r="4" spans="1:22" x14ac:dyDescent="0.2">
      <c r="A4" s="17"/>
      <c r="B4" s="137" t="s">
        <v>0</v>
      </c>
      <c r="C4" s="118" t="s">
        <v>10</v>
      </c>
      <c r="D4" s="118" t="s">
        <v>11</v>
      </c>
      <c r="E4" s="137" t="s">
        <v>0</v>
      </c>
      <c r="F4" s="118" t="s">
        <v>10</v>
      </c>
      <c r="G4" s="118" t="s">
        <v>11</v>
      </c>
      <c r="H4" s="137" t="s">
        <v>0</v>
      </c>
      <c r="I4" s="118" t="s">
        <v>10</v>
      </c>
      <c r="J4" s="118" t="s">
        <v>11</v>
      </c>
      <c r="K4" s="137" t="s">
        <v>0</v>
      </c>
      <c r="L4" s="118" t="s">
        <v>10</v>
      </c>
      <c r="M4" s="118" t="s">
        <v>11</v>
      </c>
      <c r="N4" s="137" t="s">
        <v>0</v>
      </c>
      <c r="O4" s="118" t="s">
        <v>10</v>
      </c>
      <c r="P4" s="118" t="s">
        <v>11</v>
      </c>
      <c r="Q4" s="137" t="s">
        <v>0</v>
      </c>
      <c r="R4" s="117" t="s">
        <v>10</v>
      </c>
      <c r="S4" s="117" t="s">
        <v>11</v>
      </c>
      <c r="T4" s="17"/>
    </row>
    <row r="5" spans="1:22" x14ac:dyDescent="0.2">
      <c r="A5" s="17"/>
      <c r="B5" s="138"/>
      <c r="C5" s="134" t="s">
        <v>1</v>
      </c>
      <c r="D5" s="135"/>
      <c r="E5" s="138"/>
      <c r="F5" s="134" t="s">
        <v>1</v>
      </c>
      <c r="G5" s="135"/>
      <c r="H5" s="138"/>
      <c r="I5" s="134" t="s">
        <v>1</v>
      </c>
      <c r="J5" s="135"/>
      <c r="K5" s="138"/>
      <c r="L5" s="134" t="s">
        <v>1</v>
      </c>
      <c r="M5" s="135"/>
      <c r="N5" s="138"/>
      <c r="O5" s="134" t="s">
        <v>1</v>
      </c>
      <c r="P5" s="135"/>
      <c r="Q5" s="138"/>
      <c r="R5" s="134" t="s">
        <v>1</v>
      </c>
      <c r="S5" s="135"/>
      <c r="T5" s="17"/>
    </row>
    <row r="6" spans="1:22" x14ac:dyDescent="0.2">
      <c r="A6" s="17"/>
      <c r="B6" s="3" t="s">
        <v>2</v>
      </c>
      <c r="C6" s="27">
        <v>-563</v>
      </c>
      <c r="D6" s="27"/>
      <c r="E6" s="3" t="s">
        <v>2</v>
      </c>
      <c r="F6" s="50">
        <v>-563</v>
      </c>
      <c r="G6" s="27"/>
      <c r="H6" s="3" t="s">
        <v>2</v>
      </c>
      <c r="I6" s="27">
        <v>-563</v>
      </c>
      <c r="J6" s="27"/>
      <c r="K6" s="3" t="s">
        <v>2</v>
      </c>
      <c r="L6" s="50">
        <v>-563</v>
      </c>
      <c r="M6" s="27"/>
      <c r="N6" s="3" t="s">
        <v>2</v>
      </c>
      <c r="O6" s="50">
        <v>-563</v>
      </c>
      <c r="P6" s="27"/>
      <c r="Q6" s="3" t="s">
        <v>2</v>
      </c>
      <c r="R6" s="129">
        <v>-563</v>
      </c>
      <c r="S6" s="27"/>
      <c r="T6" s="17"/>
    </row>
    <row r="7" spans="1:22" x14ac:dyDescent="0.2">
      <c r="A7" s="17"/>
      <c r="B7" s="3" t="s">
        <v>97</v>
      </c>
      <c r="C7" s="27"/>
      <c r="D7" s="27">
        <v>-300</v>
      </c>
      <c r="E7" s="3" t="s">
        <v>97</v>
      </c>
      <c r="F7" s="27"/>
      <c r="G7" s="50">
        <v>-229</v>
      </c>
      <c r="H7" s="3" t="s">
        <v>97</v>
      </c>
      <c r="I7" s="27"/>
      <c r="J7" s="27">
        <v>-350</v>
      </c>
      <c r="K7" s="3" t="s">
        <v>97</v>
      </c>
      <c r="L7" s="27"/>
      <c r="M7" s="50">
        <v>-261</v>
      </c>
      <c r="N7" s="3" t="s">
        <v>97</v>
      </c>
      <c r="O7" s="27"/>
      <c r="P7" s="64">
        <v>-250</v>
      </c>
      <c r="Q7" s="3" t="s">
        <v>97</v>
      </c>
      <c r="R7" s="27"/>
      <c r="S7" s="64">
        <v>-250</v>
      </c>
      <c r="T7" s="17"/>
    </row>
    <row r="8" spans="1:22" x14ac:dyDescent="0.2">
      <c r="A8" s="17"/>
      <c r="B8" s="3" t="s">
        <v>98</v>
      </c>
      <c r="C8" s="27"/>
      <c r="D8" s="27">
        <v>-50</v>
      </c>
      <c r="E8" s="3" t="s">
        <v>98</v>
      </c>
      <c r="F8" s="27"/>
      <c r="G8" s="50">
        <v>-50</v>
      </c>
      <c r="H8" s="3" t="s">
        <v>98</v>
      </c>
      <c r="I8" s="27"/>
      <c r="J8" s="27">
        <v>-50</v>
      </c>
      <c r="K8" s="3" t="s">
        <v>98</v>
      </c>
      <c r="L8" s="27"/>
      <c r="M8" s="50">
        <v>-53.97</v>
      </c>
      <c r="N8" s="3" t="s">
        <v>98</v>
      </c>
      <c r="O8" s="27"/>
      <c r="P8" s="64">
        <v>-50</v>
      </c>
      <c r="Q8" s="3" t="s">
        <v>98</v>
      </c>
      <c r="R8" s="27"/>
      <c r="S8" s="64">
        <v>-50</v>
      </c>
      <c r="T8" s="17"/>
    </row>
    <row r="9" spans="1:22" x14ac:dyDescent="0.2">
      <c r="A9" s="17"/>
      <c r="B9" s="3" t="s">
        <v>12</v>
      </c>
      <c r="C9" s="111"/>
      <c r="D9" s="27"/>
      <c r="E9" s="3" t="s">
        <v>12</v>
      </c>
      <c r="F9" s="111"/>
      <c r="G9" s="27"/>
      <c r="H9" s="3" t="s">
        <v>12</v>
      </c>
      <c r="I9" s="111">
        <v>-50</v>
      </c>
      <c r="J9" s="27"/>
      <c r="K9" s="3" t="s">
        <v>12</v>
      </c>
      <c r="L9" s="111"/>
      <c r="M9" s="50">
        <v>-94</v>
      </c>
      <c r="N9" s="3" t="s">
        <v>12</v>
      </c>
      <c r="O9" s="111"/>
      <c r="P9" s="27"/>
      <c r="Q9" s="3" t="s">
        <v>12</v>
      </c>
      <c r="R9" s="111"/>
      <c r="S9" s="27"/>
      <c r="T9" s="17"/>
    </row>
    <row r="10" spans="1:22" x14ac:dyDescent="0.2">
      <c r="A10" s="17"/>
      <c r="B10" s="3" t="s">
        <v>99</v>
      </c>
      <c r="C10" s="27"/>
      <c r="D10" s="27">
        <v>-140</v>
      </c>
      <c r="E10" s="3" t="s">
        <v>99</v>
      </c>
      <c r="F10" s="27"/>
      <c r="G10" s="27">
        <v>-280</v>
      </c>
      <c r="H10" s="3" t="s">
        <v>99</v>
      </c>
      <c r="I10" s="27"/>
      <c r="J10" s="27">
        <v>-140</v>
      </c>
      <c r="K10" s="3" t="s">
        <v>99</v>
      </c>
      <c r="L10" s="27"/>
      <c r="M10" s="50">
        <v>-140</v>
      </c>
      <c r="N10" s="3" t="s">
        <v>99</v>
      </c>
      <c r="O10" s="27"/>
      <c r="P10" s="64">
        <v>-140</v>
      </c>
      <c r="Q10" s="3" t="s">
        <v>99</v>
      </c>
      <c r="R10" s="27"/>
      <c r="S10" s="64">
        <v>-140</v>
      </c>
      <c r="T10" s="17"/>
    </row>
    <row r="11" spans="1:22" x14ac:dyDescent="0.2">
      <c r="A11" s="17"/>
      <c r="B11" s="3" t="s">
        <v>100</v>
      </c>
      <c r="C11" s="27">
        <v>-787</v>
      </c>
      <c r="D11" s="27"/>
      <c r="E11" s="3" t="s">
        <v>100</v>
      </c>
      <c r="F11" s="50">
        <v>-550</v>
      </c>
      <c r="G11" s="27"/>
      <c r="H11" s="3" t="s">
        <v>100</v>
      </c>
      <c r="I11" s="27">
        <v>-500</v>
      </c>
      <c r="J11" s="27"/>
      <c r="K11" s="3" t="s">
        <v>100</v>
      </c>
      <c r="L11" s="50">
        <v>-500</v>
      </c>
      <c r="M11" s="27"/>
      <c r="N11" s="3" t="s">
        <v>100</v>
      </c>
      <c r="O11" s="50">
        <v>-393</v>
      </c>
      <c r="P11" s="27"/>
      <c r="Q11" s="3" t="s">
        <v>100</v>
      </c>
      <c r="R11" s="27"/>
      <c r="S11" s="27"/>
      <c r="T11" s="17"/>
    </row>
    <row r="12" spans="1:22" x14ac:dyDescent="0.2">
      <c r="A12" s="17"/>
      <c r="B12" s="3" t="s">
        <v>65</v>
      </c>
      <c r="C12" s="27"/>
      <c r="D12" s="111">
        <v>-683</v>
      </c>
      <c r="E12" s="3" t="s">
        <v>65</v>
      </c>
      <c r="F12" s="27"/>
      <c r="G12" s="111">
        <v>-542</v>
      </c>
      <c r="H12" s="3" t="s">
        <v>65</v>
      </c>
      <c r="I12" s="27"/>
      <c r="J12" s="111"/>
      <c r="K12" s="3" t="s">
        <v>65</v>
      </c>
      <c r="L12" s="27"/>
      <c r="M12" s="126">
        <v>-541</v>
      </c>
      <c r="N12" s="3" t="s">
        <v>65</v>
      </c>
      <c r="O12" s="27"/>
      <c r="P12" s="111"/>
      <c r="Q12" s="3" t="s">
        <v>65</v>
      </c>
      <c r="R12" s="27"/>
      <c r="S12" s="111"/>
      <c r="T12" s="17"/>
    </row>
    <row r="13" spans="1:22" x14ac:dyDescent="0.2">
      <c r="A13" s="17"/>
      <c r="B13" s="124" t="s">
        <v>104</v>
      </c>
      <c r="D13" s="27">
        <v>-400</v>
      </c>
      <c r="E13" s="3" t="s">
        <v>105</v>
      </c>
      <c r="F13" s="50">
        <v>-347.31</v>
      </c>
      <c r="G13" s="27"/>
      <c r="H13" s="3"/>
      <c r="I13" s="27"/>
      <c r="J13" s="27"/>
      <c r="K13" s="86" t="s">
        <v>107</v>
      </c>
      <c r="L13" s="50">
        <v>-500</v>
      </c>
      <c r="M13" s="27"/>
      <c r="N13" s="3" t="s">
        <v>107</v>
      </c>
      <c r="O13" s="50">
        <v>-250</v>
      </c>
      <c r="P13" s="64">
        <v>-250</v>
      </c>
      <c r="Q13" s="3" t="s">
        <v>107</v>
      </c>
      <c r="R13" s="64">
        <v>-1000</v>
      </c>
      <c r="S13" s="27"/>
      <c r="T13" s="17"/>
    </row>
    <row r="14" spans="1:22" x14ac:dyDescent="0.2">
      <c r="A14" s="17"/>
      <c r="B14" s="3"/>
      <c r="C14" s="27"/>
      <c r="D14" s="27"/>
      <c r="E14" s="124" t="s">
        <v>106</v>
      </c>
      <c r="G14" s="126">
        <v>-80</v>
      </c>
      <c r="K14" s="124" t="s">
        <v>108</v>
      </c>
      <c r="L14" s="126">
        <v>-500</v>
      </c>
      <c r="N14" s="124" t="s">
        <v>108</v>
      </c>
      <c r="O14" s="126">
        <v>-500</v>
      </c>
      <c r="P14" s="4"/>
      <c r="Q14" s="124" t="s">
        <v>108</v>
      </c>
      <c r="R14" s="127">
        <v>-1000</v>
      </c>
      <c r="S14" s="97"/>
      <c r="T14" s="17"/>
    </row>
    <row r="15" spans="1:22" x14ac:dyDescent="0.2">
      <c r="A15" s="17"/>
      <c r="B15" s="5"/>
      <c r="C15" s="7"/>
      <c r="D15" s="7"/>
      <c r="E15" s="125" t="s">
        <v>68</v>
      </c>
      <c r="F15" s="43">
        <v>-300</v>
      </c>
      <c r="G15" s="9">
        <v>-100</v>
      </c>
      <c r="H15" s="5"/>
      <c r="I15" s="5"/>
      <c r="J15" s="5"/>
      <c r="K15" s="2" t="s">
        <v>106</v>
      </c>
      <c r="L15" s="5"/>
      <c r="M15" s="9">
        <v>-34</v>
      </c>
      <c r="N15" s="130" t="s">
        <v>68</v>
      </c>
      <c r="O15" s="9">
        <v>-330</v>
      </c>
      <c r="P15" s="5"/>
      <c r="Q15" s="114" t="s">
        <v>112</v>
      </c>
      <c r="R15" s="128">
        <v>-93.3</v>
      </c>
      <c r="S15" s="97"/>
      <c r="T15" s="17"/>
    </row>
    <row r="16" spans="1:22" x14ac:dyDescent="0.2">
      <c r="A16" s="17"/>
      <c r="B16" s="116" t="s">
        <v>82</v>
      </c>
      <c r="C16" s="7">
        <v>-550</v>
      </c>
      <c r="D16" s="7"/>
      <c r="E16" s="2" t="s">
        <v>82</v>
      </c>
      <c r="F16" s="45">
        <v>-500</v>
      </c>
      <c r="G16" s="5"/>
      <c r="H16" s="2"/>
      <c r="I16" s="5"/>
      <c r="K16" s="2" t="s">
        <v>109</v>
      </c>
      <c r="L16" s="9">
        <v>-175</v>
      </c>
      <c r="M16" s="5"/>
      <c r="N16" s="2"/>
      <c r="O16" s="5"/>
      <c r="P16" s="5"/>
      <c r="Q16" s="113"/>
      <c r="R16" s="112"/>
      <c r="S16" s="97"/>
      <c r="T16" s="17"/>
    </row>
    <row r="17" spans="1:20" x14ac:dyDescent="0.2">
      <c r="A17" s="17"/>
      <c r="B17" s="116"/>
      <c r="C17" s="7"/>
      <c r="D17" s="7"/>
      <c r="E17" s="2"/>
      <c r="F17" s="45"/>
      <c r="G17" s="5"/>
      <c r="H17" s="2"/>
      <c r="I17" s="5"/>
      <c r="K17" s="2" t="s">
        <v>110</v>
      </c>
      <c r="L17" s="9">
        <v>-31</v>
      </c>
      <c r="M17" s="5"/>
      <c r="N17" s="2"/>
      <c r="O17" s="5"/>
      <c r="P17" s="5"/>
      <c r="Q17" s="113"/>
      <c r="R17" s="112"/>
      <c r="S17" s="97"/>
      <c r="T17" s="17"/>
    </row>
    <row r="18" spans="1:20" x14ac:dyDescent="0.2">
      <c r="A18" s="17"/>
      <c r="B18" s="116"/>
      <c r="C18" s="7"/>
      <c r="D18" s="7"/>
      <c r="E18" s="2"/>
      <c r="F18" s="45"/>
      <c r="G18" s="5"/>
      <c r="H18" s="2"/>
      <c r="I18" s="5"/>
      <c r="K18" s="2" t="s">
        <v>73</v>
      </c>
      <c r="L18" s="9">
        <v>-41.34</v>
      </c>
      <c r="M18" s="5"/>
      <c r="N18" s="2"/>
      <c r="O18" s="5"/>
      <c r="P18" s="5"/>
      <c r="Q18" s="113"/>
      <c r="R18" s="112"/>
      <c r="S18" s="97"/>
      <c r="T18" s="17"/>
    </row>
    <row r="19" spans="1:20" x14ac:dyDescent="0.2">
      <c r="A19" s="17"/>
      <c r="B19" s="116"/>
      <c r="C19" s="7"/>
      <c r="D19" s="7"/>
      <c r="E19" s="2"/>
      <c r="F19" s="45"/>
      <c r="G19" s="5"/>
      <c r="H19" s="2"/>
      <c r="I19" s="5"/>
      <c r="K19" s="2" t="s">
        <v>111</v>
      </c>
      <c r="L19" s="9">
        <v>-48.49</v>
      </c>
      <c r="M19" s="5"/>
      <c r="N19" s="2"/>
      <c r="O19" s="5"/>
      <c r="P19" s="5"/>
      <c r="Q19" s="113"/>
      <c r="R19" s="112"/>
      <c r="S19" s="97"/>
      <c r="T19" s="17"/>
    </row>
    <row r="20" spans="1:20" x14ac:dyDescent="0.2">
      <c r="A20" s="17"/>
      <c r="B20" s="116"/>
      <c r="C20" s="7"/>
      <c r="D20" s="7"/>
      <c r="E20" s="2"/>
      <c r="F20" s="45"/>
      <c r="G20" s="5"/>
      <c r="H20" s="2"/>
      <c r="I20" s="5"/>
      <c r="K20" s="2" t="s">
        <v>36</v>
      </c>
      <c r="L20" s="9">
        <v>-75.58</v>
      </c>
      <c r="M20" s="5"/>
      <c r="N20" s="2"/>
      <c r="O20" s="5"/>
      <c r="P20" s="5"/>
      <c r="Q20" s="113"/>
      <c r="R20" s="112"/>
      <c r="S20" s="97"/>
      <c r="T20" s="17"/>
    </row>
    <row r="21" spans="1:20" x14ac:dyDescent="0.2">
      <c r="A21" s="17"/>
      <c r="B21" s="30" t="s">
        <v>9</v>
      </c>
      <c r="C21" s="71">
        <f>SUM(C6:C14)</f>
        <v>-1350</v>
      </c>
      <c r="D21" s="71">
        <f>SUM(D5:D13)</f>
        <v>-1573</v>
      </c>
      <c r="E21" s="30" t="s">
        <v>9</v>
      </c>
      <c r="F21" s="71">
        <f>SUM(F6:F15)</f>
        <v>-1760.31</v>
      </c>
      <c r="G21" s="71">
        <f>SUM(G5:G14)</f>
        <v>-1181</v>
      </c>
      <c r="H21" s="30" t="s">
        <v>9</v>
      </c>
      <c r="I21" s="71">
        <f>SUM(I6:I13)</f>
        <v>-1113</v>
      </c>
      <c r="J21" s="71">
        <f>SUM(J5:J13)</f>
        <v>-540</v>
      </c>
      <c r="K21" s="30" t="s">
        <v>9</v>
      </c>
      <c r="L21" s="71">
        <f>SUM(L6:L20)</f>
        <v>-2434.41</v>
      </c>
      <c r="M21" s="71">
        <f>SUM(M5:M20)</f>
        <v>-1123.97</v>
      </c>
      <c r="N21" s="30" t="s">
        <v>9</v>
      </c>
      <c r="O21" s="71">
        <f>SUM(O6:O20)</f>
        <v>-2036</v>
      </c>
      <c r="P21" s="71">
        <f>SUM(P5:P20)</f>
        <v>-690</v>
      </c>
      <c r="Q21" s="30" t="s">
        <v>9</v>
      </c>
      <c r="R21" s="71">
        <f>SUM(R6:R20)</f>
        <v>-2656.3</v>
      </c>
      <c r="S21" s="71">
        <f>SUM(S5:S20)</f>
        <v>-440</v>
      </c>
      <c r="T21" s="17"/>
    </row>
    <row r="22" spans="1:20" x14ac:dyDescent="0.2">
      <c r="A22" s="17"/>
      <c r="B22" s="30"/>
      <c r="C22" s="29"/>
      <c r="D22" s="29"/>
      <c r="E22" s="30"/>
      <c r="F22" s="29"/>
      <c r="G22" s="29"/>
      <c r="H22" s="30"/>
      <c r="I22" s="29"/>
      <c r="J22" s="29"/>
      <c r="K22" s="30"/>
      <c r="L22" s="29"/>
      <c r="M22" s="29"/>
      <c r="N22" s="30"/>
      <c r="O22" s="29"/>
      <c r="P22" s="29"/>
      <c r="Q22" s="75"/>
      <c r="R22" s="76"/>
      <c r="S22" s="76"/>
      <c r="T22" s="17"/>
    </row>
    <row r="23" spans="1:20" x14ac:dyDescent="0.2">
      <c r="A23" s="17"/>
      <c r="B23" s="78" t="s">
        <v>13</v>
      </c>
      <c r="C23" s="8">
        <v>1600</v>
      </c>
      <c r="D23" s="9">
        <v>1270</v>
      </c>
      <c r="E23" s="78" t="s">
        <v>13</v>
      </c>
      <c r="F23" s="8">
        <v>2300</v>
      </c>
      <c r="G23" s="9">
        <v>1270</v>
      </c>
      <c r="H23" s="78" t="s">
        <v>13</v>
      </c>
      <c r="I23" s="8">
        <v>2300</v>
      </c>
      <c r="J23" s="9">
        <v>1270</v>
      </c>
      <c r="K23" s="78" t="s">
        <v>13</v>
      </c>
      <c r="L23" s="8">
        <v>2300</v>
      </c>
      <c r="M23" s="9">
        <v>1270</v>
      </c>
      <c r="N23" s="78" t="s">
        <v>13</v>
      </c>
      <c r="O23" s="8">
        <v>2100</v>
      </c>
      <c r="P23" s="9">
        <v>1400</v>
      </c>
      <c r="Q23" s="78" t="s">
        <v>13</v>
      </c>
      <c r="R23" s="8">
        <v>2100</v>
      </c>
      <c r="S23" s="9">
        <v>600</v>
      </c>
      <c r="T23" s="17"/>
    </row>
    <row r="24" spans="1:20" x14ac:dyDescent="0.2">
      <c r="A24" s="17"/>
      <c r="B24" s="79" t="s">
        <v>14</v>
      </c>
      <c r="C24" s="10">
        <f>SUM(C23+C21)</f>
        <v>250</v>
      </c>
      <c r="D24" s="10">
        <f>SUM(D21:D23)</f>
        <v>-303</v>
      </c>
      <c r="E24" s="79" t="s">
        <v>14</v>
      </c>
      <c r="F24" s="10">
        <f>SUM(F23+F21)</f>
        <v>539.69000000000005</v>
      </c>
      <c r="G24" s="10">
        <f>SUM(G21:G23)</f>
        <v>89</v>
      </c>
      <c r="H24" s="79" t="s">
        <v>14</v>
      </c>
      <c r="I24" s="10">
        <f>SUM(I23+I21)</f>
        <v>1187</v>
      </c>
      <c r="J24" s="10">
        <f>SUM(J21:J23)</f>
        <v>730</v>
      </c>
      <c r="K24" s="79" t="s">
        <v>14</v>
      </c>
      <c r="L24" s="10">
        <f>SUM(L23+L21)</f>
        <v>-134.40999999999985</v>
      </c>
      <c r="M24" s="10">
        <f>SUM(M21:M23)</f>
        <v>146.02999999999997</v>
      </c>
      <c r="N24" s="79" t="s">
        <v>14</v>
      </c>
      <c r="O24" s="10">
        <f>SUM(O23+O21)</f>
        <v>64</v>
      </c>
      <c r="P24" s="10">
        <f>SUM(P21:P23)</f>
        <v>710</v>
      </c>
      <c r="Q24" s="79" t="s">
        <v>14</v>
      </c>
      <c r="R24" s="10">
        <f>SUM(R23+R21)</f>
        <v>-556.30000000000018</v>
      </c>
      <c r="S24" s="10">
        <f>SUM(S21:S23)</f>
        <v>160</v>
      </c>
      <c r="T24" s="17"/>
    </row>
    <row r="25" spans="1:20" x14ac:dyDescent="0.2">
      <c r="A25" s="17"/>
      <c r="B25" s="131"/>
      <c r="C25" s="132"/>
      <c r="D25" s="132"/>
      <c r="E25" s="131"/>
      <c r="F25" s="132"/>
      <c r="G25" s="132"/>
      <c r="H25" s="131"/>
      <c r="I25" s="132"/>
      <c r="J25" s="132"/>
      <c r="K25" s="131"/>
      <c r="L25" s="132"/>
      <c r="M25" s="132"/>
      <c r="N25" s="131"/>
      <c r="O25" s="132"/>
      <c r="P25" s="132"/>
      <c r="Q25" s="131" t="s">
        <v>113</v>
      </c>
      <c r="R25" s="132">
        <v>2400</v>
      </c>
      <c r="S25" s="132"/>
      <c r="T25" s="17"/>
    </row>
    <row r="26" spans="1:20" x14ac:dyDescent="0.2">
      <c r="A26" s="1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t="s">
        <v>30</v>
      </c>
      <c r="R26" s="13">
        <f>SUM(R23+R25)</f>
        <v>4500</v>
      </c>
      <c r="T26" s="17"/>
    </row>
    <row r="27" spans="1:20" x14ac:dyDescent="0.2">
      <c r="A27" s="1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t="s">
        <v>114</v>
      </c>
      <c r="R27" s="13">
        <v>1844</v>
      </c>
      <c r="T27" s="17"/>
    </row>
    <row r="28" spans="1:20" x14ac:dyDescent="0.2">
      <c r="A28" s="17"/>
      <c r="B28" s="119" t="s">
        <v>20</v>
      </c>
      <c r="C28" s="120"/>
      <c r="D28" s="121"/>
      <c r="E28" s="117" t="s">
        <v>21</v>
      </c>
      <c r="F28" s="117"/>
      <c r="G28" s="117"/>
      <c r="H28" s="117" t="s">
        <v>22</v>
      </c>
      <c r="I28" s="117"/>
      <c r="J28" s="117"/>
      <c r="K28" s="139" t="s">
        <v>23</v>
      </c>
      <c r="L28" s="139"/>
      <c r="M28" s="139"/>
      <c r="N28" s="139" t="s">
        <v>24</v>
      </c>
      <c r="O28" s="139"/>
      <c r="P28" s="139"/>
      <c r="Q28" s="139" t="s">
        <v>25</v>
      </c>
      <c r="R28" s="139"/>
      <c r="S28" s="139"/>
      <c r="T28" s="17"/>
    </row>
    <row r="29" spans="1:20" x14ac:dyDescent="0.2">
      <c r="A29" s="17"/>
      <c r="B29" s="122" t="s">
        <v>0</v>
      </c>
      <c r="C29" s="117" t="s">
        <v>10</v>
      </c>
      <c r="D29" s="117" t="s">
        <v>11</v>
      </c>
      <c r="E29" s="122" t="s">
        <v>0</v>
      </c>
      <c r="F29" s="117" t="s">
        <v>10</v>
      </c>
      <c r="G29" s="117" t="s">
        <v>11</v>
      </c>
      <c r="H29" s="122" t="s">
        <v>0</v>
      </c>
      <c r="I29" s="117" t="s">
        <v>10</v>
      </c>
      <c r="J29" s="117" t="s">
        <v>11</v>
      </c>
      <c r="K29" s="137" t="s">
        <v>0</v>
      </c>
      <c r="L29" s="117" t="s">
        <v>10</v>
      </c>
      <c r="M29" s="117" t="s">
        <v>11</v>
      </c>
      <c r="N29" s="137" t="s">
        <v>0</v>
      </c>
      <c r="O29" s="117" t="s">
        <v>10</v>
      </c>
      <c r="P29" s="117" t="s">
        <v>11</v>
      </c>
      <c r="Q29" s="137" t="s">
        <v>0</v>
      </c>
      <c r="R29" s="117" t="s">
        <v>10</v>
      </c>
      <c r="S29" s="117" t="s">
        <v>11</v>
      </c>
      <c r="T29" s="17"/>
    </row>
    <row r="30" spans="1:20" x14ac:dyDescent="0.2">
      <c r="A30" s="17"/>
      <c r="B30" s="123"/>
      <c r="C30" s="134" t="s">
        <v>1</v>
      </c>
      <c r="D30" s="135"/>
      <c r="E30" s="123"/>
      <c r="F30" s="134" t="s">
        <v>1</v>
      </c>
      <c r="G30" s="135"/>
      <c r="H30" s="123"/>
      <c r="I30" s="134" t="s">
        <v>1</v>
      </c>
      <c r="J30" s="135"/>
      <c r="K30" s="138"/>
      <c r="L30" s="134" t="s">
        <v>1</v>
      </c>
      <c r="M30" s="135"/>
      <c r="N30" s="138"/>
      <c r="O30" s="134" t="s">
        <v>1</v>
      </c>
      <c r="P30" s="135"/>
      <c r="Q30" s="138"/>
      <c r="R30" s="134" t="s">
        <v>1</v>
      </c>
      <c r="S30" s="135"/>
      <c r="T30" s="17"/>
    </row>
    <row r="31" spans="1:20" x14ac:dyDescent="0.2">
      <c r="A31" s="17"/>
      <c r="B31" s="3" t="s">
        <v>2</v>
      </c>
      <c r="C31" s="64">
        <v>-563</v>
      </c>
      <c r="D31" s="27"/>
      <c r="E31" s="3" t="s">
        <v>2</v>
      </c>
      <c r="F31" s="64">
        <v>-563</v>
      </c>
      <c r="G31" s="27"/>
      <c r="H31" s="3" t="s">
        <v>2</v>
      </c>
      <c r="I31" s="64">
        <v>-563</v>
      </c>
      <c r="J31" s="27"/>
      <c r="K31" s="3" t="s">
        <v>2</v>
      </c>
      <c r="L31" s="64">
        <v>-563</v>
      </c>
      <c r="M31" s="27"/>
      <c r="N31" s="3" t="s">
        <v>2</v>
      </c>
      <c r="O31" s="64">
        <v>-563</v>
      </c>
      <c r="P31" s="27"/>
      <c r="Q31" s="3" t="s">
        <v>2</v>
      </c>
      <c r="R31" s="64">
        <v>-563</v>
      </c>
      <c r="S31" s="27"/>
      <c r="T31" s="17"/>
    </row>
    <row r="32" spans="1:20" x14ac:dyDescent="0.2">
      <c r="A32" s="17"/>
      <c r="B32" s="3" t="s">
        <v>97</v>
      </c>
      <c r="C32" s="27"/>
      <c r="D32" s="64">
        <v>-250</v>
      </c>
      <c r="E32" s="3" t="s">
        <v>97</v>
      </c>
      <c r="F32" s="27"/>
      <c r="G32" s="64">
        <v>-250</v>
      </c>
      <c r="H32" s="3" t="s">
        <v>97</v>
      </c>
      <c r="I32" s="27"/>
      <c r="J32" s="64">
        <v>-250</v>
      </c>
      <c r="K32" s="3" t="s">
        <v>97</v>
      </c>
      <c r="L32" s="27"/>
      <c r="M32" s="64">
        <v>-250</v>
      </c>
      <c r="N32" s="3" t="s">
        <v>97</v>
      </c>
      <c r="O32" s="27"/>
      <c r="P32" s="64">
        <v>-250</v>
      </c>
      <c r="Q32" s="3" t="s">
        <v>97</v>
      </c>
      <c r="R32" s="27"/>
      <c r="S32" s="64">
        <v>-250</v>
      </c>
      <c r="T32" s="17"/>
    </row>
    <row r="33" spans="1:20" x14ac:dyDescent="0.2">
      <c r="A33" s="17"/>
      <c r="B33" s="3" t="s">
        <v>98</v>
      </c>
      <c r="C33" s="27"/>
      <c r="D33" s="64">
        <v>-50</v>
      </c>
      <c r="E33" s="3" t="s">
        <v>98</v>
      </c>
      <c r="F33" s="27"/>
      <c r="G33" s="64">
        <v>-50</v>
      </c>
      <c r="H33" s="3" t="s">
        <v>98</v>
      </c>
      <c r="I33" s="27"/>
      <c r="J33" s="64">
        <v>-50</v>
      </c>
      <c r="K33" s="3" t="s">
        <v>98</v>
      </c>
      <c r="L33" s="27"/>
      <c r="M33" s="64">
        <v>-50</v>
      </c>
      <c r="N33" s="3" t="s">
        <v>98</v>
      </c>
      <c r="O33" s="27"/>
      <c r="P33" s="64">
        <v>-50</v>
      </c>
      <c r="Q33" s="3" t="s">
        <v>98</v>
      </c>
      <c r="R33" s="27"/>
      <c r="S33" s="64">
        <v>-50</v>
      </c>
      <c r="T33" s="17"/>
    </row>
    <row r="34" spans="1:20" x14ac:dyDescent="0.2">
      <c r="A34" s="17"/>
      <c r="B34" s="3" t="s">
        <v>12</v>
      </c>
      <c r="C34" s="111"/>
      <c r="D34" s="27"/>
      <c r="E34" s="3" t="s">
        <v>12</v>
      </c>
      <c r="F34" s="111"/>
      <c r="G34" s="27"/>
      <c r="H34" s="3" t="s">
        <v>12</v>
      </c>
      <c r="I34" s="111"/>
      <c r="J34" s="27"/>
      <c r="K34" s="3" t="s">
        <v>12</v>
      </c>
      <c r="L34" s="111"/>
      <c r="M34" s="27"/>
      <c r="N34" s="3" t="s">
        <v>12</v>
      </c>
      <c r="O34" s="111"/>
      <c r="P34" s="27"/>
      <c r="Q34" s="3" t="s">
        <v>12</v>
      </c>
      <c r="R34" s="111"/>
      <c r="S34" s="27"/>
      <c r="T34" s="17"/>
    </row>
    <row r="35" spans="1:20" x14ac:dyDescent="0.2">
      <c r="A35" s="17"/>
      <c r="B35" s="3" t="s">
        <v>99</v>
      </c>
      <c r="C35" s="27"/>
      <c r="D35" s="64">
        <v>-140</v>
      </c>
      <c r="E35" s="3" t="s">
        <v>99</v>
      </c>
      <c r="F35" s="27"/>
      <c r="G35" s="64">
        <v>-140</v>
      </c>
      <c r="H35" s="3" t="s">
        <v>99</v>
      </c>
      <c r="I35" s="27"/>
      <c r="J35" s="64">
        <v>-140</v>
      </c>
      <c r="K35" s="3" t="s">
        <v>99</v>
      </c>
      <c r="L35" s="27"/>
      <c r="M35" s="64">
        <v>-140</v>
      </c>
      <c r="N35" s="3" t="s">
        <v>99</v>
      </c>
      <c r="O35" s="27"/>
      <c r="P35" s="64">
        <v>-140</v>
      </c>
      <c r="Q35" s="3" t="s">
        <v>99</v>
      </c>
      <c r="R35" s="27"/>
      <c r="S35" s="64">
        <v>-140</v>
      </c>
      <c r="T35" s="17"/>
    </row>
    <row r="36" spans="1:20" x14ac:dyDescent="0.2">
      <c r="A36" s="17"/>
      <c r="B36" s="3" t="s">
        <v>100</v>
      </c>
      <c r="C36" s="27"/>
      <c r="D36" s="27"/>
      <c r="E36" s="3" t="s">
        <v>100</v>
      </c>
      <c r="F36" s="27"/>
      <c r="G36" s="27"/>
      <c r="H36" s="3" t="s">
        <v>100</v>
      </c>
      <c r="I36" s="27"/>
      <c r="J36" s="27"/>
      <c r="K36" s="3" t="s">
        <v>100</v>
      </c>
      <c r="L36" s="27"/>
      <c r="M36" s="27"/>
      <c r="N36" s="3" t="s">
        <v>100</v>
      </c>
      <c r="O36" s="27"/>
      <c r="P36" s="27"/>
      <c r="Q36" s="3" t="s">
        <v>100</v>
      </c>
      <c r="R36" s="27"/>
      <c r="S36" s="27"/>
      <c r="T36" s="17"/>
    </row>
    <row r="37" spans="1:20" x14ac:dyDescent="0.2">
      <c r="A37" s="17"/>
      <c r="B37" s="3" t="s">
        <v>65</v>
      </c>
      <c r="C37" s="27"/>
      <c r="D37" s="111"/>
      <c r="E37" s="3" t="s">
        <v>65</v>
      </c>
      <c r="F37" s="27"/>
      <c r="G37" s="111"/>
      <c r="H37" s="3" t="s">
        <v>65</v>
      </c>
      <c r="I37" s="27"/>
      <c r="J37" s="111"/>
      <c r="K37" s="3" t="s">
        <v>65</v>
      </c>
      <c r="L37" s="27"/>
      <c r="M37" s="111"/>
      <c r="N37" s="3" t="s">
        <v>65</v>
      </c>
      <c r="O37" s="27"/>
      <c r="P37" s="111"/>
      <c r="Q37" s="3" t="s">
        <v>65</v>
      </c>
      <c r="R37" s="27"/>
      <c r="S37" s="111"/>
      <c r="T37" s="17"/>
    </row>
    <row r="38" spans="1:20" x14ac:dyDescent="0.2">
      <c r="A38" s="17"/>
      <c r="B38" s="124" t="s">
        <v>108</v>
      </c>
      <c r="C38" s="111"/>
      <c r="D38" s="97"/>
      <c r="E38" s="114" t="s">
        <v>82</v>
      </c>
      <c r="F38" s="128">
        <v>-500</v>
      </c>
      <c r="G38" s="97"/>
      <c r="H38" s="114" t="s">
        <v>82</v>
      </c>
      <c r="I38" s="128">
        <v>-500</v>
      </c>
      <c r="J38" s="97"/>
      <c r="K38" s="114" t="s">
        <v>82</v>
      </c>
      <c r="L38" s="128">
        <v>-500</v>
      </c>
      <c r="M38" s="97"/>
      <c r="N38" s="114" t="s">
        <v>82</v>
      </c>
      <c r="O38" s="128">
        <v>-500</v>
      </c>
      <c r="P38" s="92"/>
      <c r="Q38" s="114"/>
      <c r="R38" s="92"/>
      <c r="S38" s="114"/>
      <c r="T38" s="17"/>
    </row>
    <row r="39" spans="1:20" x14ac:dyDescent="0.2">
      <c r="A39" s="17"/>
      <c r="B39" s="3" t="s">
        <v>107</v>
      </c>
      <c r="C39" s="27"/>
      <c r="D39" s="27"/>
      <c r="E39" s="3" t="s">
        <v>107</v>
      </c>
      <c r="F39" s="64">
        <v>-250</v>
      </c>
      <c r="G39" s="64">
        <v>-250</v>
      </c>
      <c r="H39" s="114"/>
      <c r="I39" s="92"/>
      <c r="J39" s="92"/>
      <c r="K39" s="114"/>
      <c r="L39" s="92"/>
      <c r="M39" s="92"/>
      <c r="N39" s="114"/>
      <c r="O39" s="92"/>
      <c r="P39" s="92"/>
      <c r="Q39" s="114"/>
      <c r="R39" s="92"/>
      <c r="S39" s="114"/>
      <c r="T39" s="17"/>
    </row>
    <row r="40" spans="1:20" x14ac:dyDescent="0.2">
      <c r="A40" s="17"/>
      <c r="B40" s="114" t="s">
        <v>112</v>
      </c>
      <c r="C40" s="128">
        <v>-93.3</v>
      </c>
      <c r="D40" s="92"/>
      <c r="E40" s="114"/>
      <c r="F40" s="92"/>
      <c r="G40" s="92"/>
      <c r="H40" s="114"/>
      <c r="I40" s="92"/>
      <c r="J40" s="92"/>
      <c r="K40" s="114"/>
      <c r="L40" s="92"/>
      <c r="M40" s="92"/>
      <c r="N40" s="114"/>
      <c r="O40" s="92"/>
      <c r="P40" s="92"/>
      <c r="Q40" s="5"/>
      <c r="R40" s="5"/>
      <c r="S40" s="114"/>
      <c r="T40" s="17"/>
    </row>
    <row r="41" spans="1:20" x14ac:dyDescent="0.2">
      <c r="A41" s="17"/>
      <c r="B41" s="115" t="s">
        <v>82</v>
      </c>
      <c r="C41" s="133">
        <v>-150</v>
      </c>
      <c r="D41" s="93"/>
      <c r="E41" s="115"/>
      <c r="F41" s="93"/>
      <c r="G41" s="93"/>
      <c r="H41" s="115"/>
      <c r="I41" s="93"/>
      <c r="J41" s="93"/>
      <c r="K41" s="115"/>
      <c r="L41" s="93"/>
      <c r="M41" s="93"/>
      <c r="N41" s="5"/>
      <c r="O41" s="5"/>
      <c r="P41" s="5"/>
      <c r="Q41" s="114"/>
      <c r="R41" s="92"/>
      <c r="S41" s="115"/>
      <c r="T41" s="17"/>
    </row>
    <row r="42" spans="1:20" x14ac:dyDescent="0.2">
      <c r="A42" s="17"/>
      <c r="B42" s="30" t="s">
        <v>9</v>
      </c>
      <c r="C42" s="71">
        <f>SUM(C31:C41)</f>
        <v>-806.3</v>
      </c>
      <c r="D42" s="71">
        <f>SUM(D30:D41)</f>
        <v>-440</v>
      </c>
      <c r="E42" s="30" t="s">
        <v>9</v>
      </c>
      <c r="F42" s="71">
        <f>SUM(F31:F40)</f>
        <v>-1313</v>
      </c>
      <c r="G42" s="71">
        <f>SUM(G30:G40)</f>
        <v>-690</v>
      </c>
      <c r="H42" s="30" t="s">
        <v>9</v>
      </c>
      <c r="I42" s="71">
        <f>SUM(I31:I40)</f>
        <v>-1063</v>
      </c>
      <c r="J42" s="71">
        <f>SUM(J30:J40)</f>
        <v>-440</v>
      </c>
      <c r="K42" s="30" t="s">
        <v>9</v>
      </c>
      <c r="L42" s="71">
        <f>SUM(L31:L41)</f>
        <v>-1063</v>
      </c>
      <c r="M42" s="71">
        <f>SUM(M30:M40)</f>
        <v>-440</v>
      </c>
      <c r="N42" s="30" t="s">
        <v>9</v>
      </c>
      <c r="O42" s="71">
        <f>SUM(O31:O40)</f>
        <v>-1063</v>
      </c>
      <c r="P42" s="71">
        <f>SUM(P30:P40)</f>
        <v>-440</v>
      </c>
      <c r="Q42" s="30" t="s">
        <v>9</v>
      </c>
      <c r="R42" s="71">
        <f>SUM(R31:R41)</f>
        <v>-563</v>
      </c>
      <c r="S42" s="71">
        <f>SUM(S30:S41)</f>
        <v>-440</v>
      </c>
      <c r="T42" s="17"/>
    </row>
    <row r="43" spans="1:20" x14ac:dyDescent="0.2">
      <c r="A43" s="17"/>
      <c r="B43" s="75"/>
      <c r="C43" s="76"/>
      <c r="D43" s="76"/>
      <c r="E43" s="75"/>
      <c r="F43" s="76"/>
      <c r="G43" s="76"/>
      <c r="H43" s="75"/>
      <c r="I43" s="76"/>
      <c r="J43" s="76"/>
      <c r="K43" s="75"/>
      <c r="L43" s="76"/>
      <c r="M43" s="76"/>
      <c r="N43" s="75"/>
      <c r="O43" s="76"/>
      <c r="P43" s="76"/>
      <c r="Q43" s="75"/>
      <c r="R43" s="76"/>
      <c r="S43" s="76"/>
      <c r="T43" s="17"/>
    </row>
    <row r="44" spans="1:20" x14ac:dyDescent="0.2">
      <c r="A44" s="57"/>
      <c r="B44" s="78" t="s">
        <v>13</v>
      </c>
      <c r="C44" s="8">
        <v>1500</v>
      </c>
      <c r="D44" s="9">
        <v>1400</v>
      </c>
      <c r="E44" s="78" t="s">
        <v>13</v>
      </c>
      <c r="F44" s="8">
        <v>2100</v>
      </c>
      <c r="G44" s="9">
        <v>1400</v>
      </c>
      <c r="H44" s="78" t="s">
        <v>13</v>
      </c>
      <c r="I44" s="8">
        <v>2100</v>
      </c>
      <c r="J44" s="9">
        <v>1400</v>
      </c>
      <c r="K44" s="78" t="s">
        <v>13</v>
      </c>
      <c r="L44" s="8">
        <v>2100</v>
      </c>
      <c r="M44" s="9">
        <v>1400</v>
      </c>
      <c r="N44" s="78" t="s">
        <v>13</v>
      </c>
      <c r="O44" s="8">
        <v>2100</v>
      </c>
      <c r="P44" s="9">
        <v>1400</v>
      </c>
      <c r="Q44" s="78" t="s">
        <v>13</v>
      </c>
      <c r="R44" s="8">
        <v>2100</v>
      </c>
      <c r="S44" s="9">
        <v>1400</v>
      </c>
      <c r="T44" s="17"/>
    </row>
    <row r="45" spans="1:20" x14ac:dyDescent="0.2">
      <c r="A45" s="57"/>
      <c r="B45" s="79" t="s">
        <v>14</v>
      </c>
      <c r="C45" s="10">
        <f>SUM(C44+C42)</f>
        <v>693.7</v>
      </c>
      <c r="D45" s="10">
        <f>SUM(D42:D44)</f>
        <v>960</v>
      </c>
      <c r="E45" s="79" t="s">
        <v>14</v>
      </c>
      <c r="F45" s="10">
        <f>SUM(F44+F42)</f>
        <v>787</v>
      </c>
      <c r="G45" s="10">
        <f>SUM(G42:G44)</f>
        <v>710</v>
      </c>
      <c r="H45" s="79" t="s">
        <v>14</v>
      </c>
      <c r="I45" s="10">
        <f>SUM(I44+I42)</f>
        <v>1037</v>
      </c>
      <c r="J45" s="10">
        <f>SUM(J42:J44)</f>
        <v>960</v>
      </c>
      <c r="K45" s="79" t="s">
        <v>14</v>
      </c>
      <c r="L45" s="51">
        <f>SUM(L44+O46+L42)</f>
        <v>1037</v>
      </c>
      <c r="M45" s="51">
        <f>SUM(M42:M44)</f>
        <v>960</v>
      </c>
      <c r="N45" s="79" t="s">
        <v>14</v>
      </c>
      <c r="O45" s="51">
        <f>SUM(O44+R46+O42)</f>
        <v>1037</v>
      </c>
      <c r="P45" s="51">
        <f>SUM(P42:P44)</f>
        <v>960</v>
      </c>
      <c r="Q45" s="79" t="s">
        <v>14</v>
      </c>
      <c r="R45" s="51">
        <f>SUM(R44+U46+R42)</f>
        <v>1537</v>
      </c>
      <c r="S45" s="51">
        <f>SUM(S42:S44)</f>
        <v>960</v>
      </c>
      <c r="T45" s="17"/>
    </row>
    <row r="46" spans="1:20" x14ac:dyDescent="0.2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9"/>
      <c r="O46" s="52"/>
      <c r="P46" s="52"/>
      <c r="Q46" s="57"/>
      <c r="R46" s="17"/>
      <c r="S46" s="17"/>
      <c r="T46" s="17"/>
    </row>
    <row r="47" spans="1:20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2"/>
      <c r="O47" s="5"/>
      <c r="P47" s="45"/>
      <c r="Q47" s="5"/>
      <c r="R47" s="5"/>
      <c r="S47" s="5"/>
      <c r="T47" s="5"/>
    </row>
  </sheetData>
  <mergeCells count="32">
    <mergeCell ref="B3:D3"/>
    <mergeCell ref="E3:G3"/>
    <mergeCell ref="H3:J3"/>
    <mergeCell ref="K3:M3"/>
    <mergeCell ref="N3:P3"/>
    <mergeCell ref="B4:B5"/>
    <mergeCell ref="E4:E5"/>
    <mergeCell ref="H4:H5"/>
    <mergeCell ref="K4:K5"/>
    <mergeCell ref="N4:N5"/>
    <mergeCell ref="C5:D5"/>
    <mergeCell ref="F5:G5"/>
    <mergeCell ref="I5:J5"/>
    <mergeCell ref="C30:D30"/>
    <mergeCell ref="F30:G30"/>
    <mergeCell ref="I30:J30"/>
    <mergeCell ref="L30:M30"/>
    <mergeCell ref="O30:P30"/>
    <mergeCell ref="R30:S30"/>
    <mergeCell ref="U1:V1"/>
    <mergeCell ref="K29:K30"/>
    <mergeCell ref="N29:N30"/>
    <mergeCell ref="Q29:Q30"/>
    <mergeCell ref="L5:M5"/>
    <mergeCell ref="O5:P5"/>
    <mergeCell ref="R5:S5"/>
    <mergeCell ref="K28:M28"/>
    <mergeCell ref="N28:P28"/>
    <mergeCell ref="Q28:S28"/>
    <mergeCell ref="Q3:S3"/>
    <mergeCell ref="Q4:Q5"/>
    <mergeCell ref="G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8900-E589-4BDD-A171-A5ADCE297CEA}">
  <dimension ref="A1:H11"/>
  <sheetViews>
    <sheetView zoomScale="157" workbookViewId="0">
      <selection activeCell="H9" sqref="G2:H9"/>
    </sheetView>
  </sheetViews>
  <sheetFormatPr defaultColWidth="8.875" defaultRowHeight="15" x14ac:dyDescent="0.2"/>
  <cols>
    <col min="1" max="1" width="13.71875" bestFit="1" customWidth="1"/>
    <col min="2" max="2" width="11.02734375" bestFit="1" customWidth="1"/>
    <col min="4" max="4" width="14.52734375" bestFit="1" customWidth="1"/>
    <col min="5" max="5" width="11.296875" bestFit="1" customWidth="1"/>
    <col min="7" max="7" width="13.71875" bestFit="1" customWidth="1"/>
    <col min="8" max="8" width="11.1640625" bestFit="1" customWidth="1"/>
  </cols>
  <sheetData>
    <row r="1" spans="1:8" x14ac:dyDescent="0.2">
      <c r="A1" s="99" t="s">
        <v>71</v>
      </c>
      <c r="B1" s="99" t="s">
        <v>1</v>
      </c>
      <c r="D1" s="99" t="s">
        <v>71</v>
      </c>
      <c r="E1" s="99" t="s">
        <v>1</v>
      </c>
      <c r="G1" s="99" t="s">
        <v>71</v>
      </c>
      <c r="H1" s="99" t="s">
        <v>1</v>
      </c>
    </row>
    <row r="2" spans="1:8" x14ac:dyDescent="0.2">
      <c r="A2" t="s">
        <v>72</v>
      </c>
      <c r="B2" s="61">
        <v>-117.43</v>
      </c>
      <c r="D2" t="s">
        <v>88</v>
      </c>
      <c r="E2" s="61">
        <v>-66.66</v>
      </c>
      <c r="H2" s="61"/>
    </row>
    <row r="3" spans="1:8" x14ac:dyDescent="0.2">
      <c r="A3" t="s">
        <v>73</v>
      </c>
      <c r="B3" s="61">
        <v>-108.6</v>
      </c>
      <c r="D3" t="s">
        <v>87</v>
      </c>
      <c r="E3" s="61">
        <v>-122.5</v>
      </c>
      <c r="H3" s="61"/>
    </row>
    <row r="4" spans="1:8" x14ac:dyDescent="0.2">
      <c r="A4" t="s">
        <v>63</v>
      </c>
      <c r="B4" s="61">
        <v>-24.9</v>
      </c>
      <c r="D4" t="s">
        <v>73</v>
      </c>
      <c r="E4" s="61">
        <v>-108.6</v>
      </c>
      <c r="H4" s="61"/>
    </row>
    <row r="5" spans="1:8" x14ac:dyDescent="0.2">
      <c r="A5" t="s">
        <v>74</v>
      </c>
      <c r="B5" s="61">
        <v>-110</v>
      </c>
      <c r="D5" t="s">
        <v>72</v>
      </c>
      <c r="E5" s="61">
        <v>-117.43</v>
      </c>
      <c r="H5" s="61"/>
    </row>
    <row r="6" spans="1:8" x14ac:dyDescent="0.2">
      <c r="A6" t="s">
        <v>75</v>
      </c>
      <c r="B6" s="61">
        <v>-80</v>
      </c>
      <c r="D6" t="s">
        <v>91</v>
      </c>
      <c r="E6" s="61">
        <v>-120</v>
      </c>
      <c r="H6" s="61"/>
    </row>
    <row r="7" spans="1:8" x14ac:dyDescent="0.2">
      <c r="A7" t="s">
        <v>92</v>
      </c>
      <c r="B7" s="61">
        <v>-17</v>
      </c>
      <c r="D7" t="s">
        <v>91</v>
      </c>
      <c r="E7" s="61">
        <v>-120</v>
      </c>
      <c r="H7" s="61"/>
    </row>
    <row r="8" spans="1:8" x14ac:dyDescent="0.2">
      <c r="B8" s="61"/>
      <c r="D8" t="s">
        <v>63</v>
      </c>
      <c r="E8" s="61">
        <v>-24.9</v>
      </c>
      <c r="H8" s="61"/>
    </row>
    <row r="9" spans="1:8" x14ac:dyDescent="0.2">
      <c r="B9" s="61"/>
      <c r="D9" t="s">
        <v>93</v>
      </c>
      <c r="E9" s="61">
        <v>-17</v>
      </c>
      <c r="H9" s="61"/>
    </row>
    <row r="10" spans="1:8" x14ac:dyDescent="0.2">
      <c r="B10" s="61"/>
      <c r="E10" s="61"/>
      <c r="H10" s="61"/>
    </row>
    <row r="11" spans="1:8" x14ac:dyDescent="0.2">
      <c r="A11" s="99" t="s">
        <v>83</v>
      </c>
      <c r="B11" s="99"/>
      <c r="D11" s="99" t="s">
        <v>84</v>
      </c>
      <c r="E11" s="99"/>
      <c r="G11" s="99" t="s">
        <v>96</v>
      </c>
      <c r="H11" s="99"/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A427-67F6-4763-93C4-C4B18F1A7DB4}">
  <dimension ref="A1:H20"/>
  <sheetViews>
    <sheetView zoomScale="140" zoomScaleNormal="140" workbookViewId="0">
      <selection activeCell="G21" sqref="G21"/>
    </sheetView>
  </sheetViews>
  <sheetFormatPr defaultColWidth="8.875" defaultRowHeight="15" x14ac:dyDescent="0.2"/>
  <cols>
    <col min="1" max="1" width="14.125" bestFit="1" customWidth="1"/>
    <col min="2" max="2" width="11.02734375" bestFit="1" customWidth="1"/>
    <col min="4" max="4" width="20.984375" bestFit="1" customWidth="1"/>
    <col min="5" max="5" width="10.4921875" bestFit="1" customWidth="1"/>
    <col min="7" max="7" width="15.6015625" customWidth="1"/>
    <col min="8" max="8" width="19.37109375" customWidth="1"/>
  </cols>
  <sheetData>
    <row r="1" spans="1:8" x14ac:dyDescent="0.2">
      <c r="A1" s="99" t="s">
        <v>71</v>
      </c>
      <c r="B1" s="99" t="s">
        <v>1</v>
      </c>
      <c r="D1" s="108" t="s">
        <v>71</v>
      </c>
      <c r="E1" s="109" t="s">
        <v>1</v>
      </c>
      <c r="G1" s="108" t="s">
        <v>71</v>
      </c>
      <c r="H1" s="109" t="s">
        <v>1</v>
      </c>
    </row>
    <row r="2" spans="1:8" x14ac:dyDescent="0.2">
      <c r="A2" t="s">
        <v>76</v>
      </c>
      <c r="B2" s="13">
        <v>-13.99</v>
      </c>
      <c r="D2" s="101" t="s">
        <v>36</v>
      </c>
      <c r="E2" s="105">
        <v>-20</v>
      </c>
      <c r="G2" s="101"/>
      <c r="H2" s="105"/>
    </row>
    <row r="3" spans="1:8" x14ac:dyDescent="0.2">
      <c r="A3" t="s">
        <v>36</v>
      </c>
      <c r="B3" s="13">
        <v>-20</v>
      </c>
      <c r="D3" s="100" t="s">
        <v>85</v>
      </c>
      <c r="E3" s="104">
        <v>-44</v>
      </c>
      <c r="G3" s="100"/>
      <c r="H3" s="104"/>
    </row>
    <row r="4" spans="1:8" x14ac:dyDescent="0.2">
      <c r="A4" t="s">
        <v>36</v>
      </c>
      <c r="B4" s="13">
        <v>-20</v>
      </c>
      <c r="D4" t="s">
        <v>86</v>
      </c>
      <c r="E4" s="61">
        <v>-43.99</v>
      </c>
      <c r="H4" s="61"/>
    </row>
    <row r="5" spans="1:8" x14ac:dyDescent="0.2">
      <c r="A5" t="s">
        <v>36</v>
      </c>
      <c r="B5" s="13">
        <v>-50</v>
      </c>
      <c r="D5" s="100" t="s">
        <v>73</v>
      </c>
      <c r="E5" s="104">
        <v>-389.84</v>
      </c>
      <c r="G5" s="100"/>
      <c r="H5" s="104"/>
    </row>
    <row r="6" spans="1:8" x14ac:dyDescent="0.2">
      <c r="A6" t="s">
        <v>77</v>
      </c>
      <c r="B6" s="13">
        <v>-38.89</v>
      </c>
      <c r="D6" s="101" t="s">
        <v>89</v>
      </c>
      <c r="E6" s="105">
        <v>73.3</v>
      </c>
      <c r="G6" s="101"/>
      <c r="H6" s="105"/>
    </row>
    <row r="7" spans="1:8" x14ac:dyDescent="0.2">
      <c r="A7" t="s">
        <v>36</v>
      </c>
      <c r="B7" s="13">
        <v>-20</v>
      </c>
      <c r="D7" s="100" t="s">
        <v>90</v>
      </c>
      <c r="E7" s="104">
        <v>-13</v>
      </c>
      <c r="G7" s="100"/>
      <c r="H7" s="104"/>
    </row>
    <row r="8" spans="1:8" x14ac:dyDescent="0.2">
      <c r="A8" t="s">
        <v>78</v>
      </c>
      <c r="B8" s="13">
        <v>-99.8</v>
      </c>
      <c r="D8" s="101" t="s">
        <v>94</v>
      </c>
      <c r="E8" s="105">
        <v>13.99</v>
      </c>
      <c r="G8" s="101"/>
      <c r="H8" s="105"/>
    </row>
    <row r="9" spans="1:8" x14ac:dyDescent="0.2">
      <c r="A9" t="s">
        <v>79</v>
      </c>
      <c r="B9" s="13">
        <v>-13</v>
      </c>
      <c r="D9" s="100"/>
      <c r="E9" s="104"/>
      <c r="G9" s="100"/>
      <c r="H9" s="104"/>
    </row>
    <row r="10" spans="1:8" x14ac:dyDescent="0.2">
      <c r="A10" t="s">
        <v>79</v>
      </c>
      <c r="B10" s="13">
        <v>-60</v>
      </c>
      <c r="D10" s="101"/>
      <c r="E10" s="105"/>
      <c r="G10" s="101"/>
      <c r="H10" s="105"/>
    </row>
    <row r="11" spans="1:8" x14ac:dyDescent="0.2">
      <c r="A11" t="s">
        <v>36</v>
      </c>
      <c r="B11" s="13">
        <v>-60</v>
      </c>
      <c r="D11" s="100"/>
      <c r="E11" s="104"/>
      <c r="G11" s="100"/>
      <c r="H11" s="104"/>
    </row>
    <row r="12" spans="1:8" x14ac:dyDescent="0.2">
      <c r="A12" t="s">
        <v>36</v>
      </c>
      <c r="B12" s="13">
        <v>-20</v>
      </c>
      <c r="D12" s="101"/>
      <c r="E12" s="105"/>
      <c r="G12" s="101"/>
      <c r="H12" s="105"/>
    </row>
    <row r="13" spans="1:8" x14ac:dyDescent="0.2">
      <c r="A13" t="s">
        <v>80</v>
      </c>
      <c r="B13" s="13">
        <v>-23.39</v>
      </c>
      <c r="D13" s="100"/>
      <c r="E13" s="103"/>
      <c r="G13" s="100"/>
      <c r="H13" s="103"/>
    </row>
    <row r="14" spans="1:8" x14ac:dyDescent="0.2">
      <c r="A14" t="s">
        <v>81</v>
      </c>
      <c r="B14" s="13">
        <v>-45</v>
      </c>
      <c r="D14" s="101"/>
      <c r="E14" s="102"/>
      <c r="G14" s="101"/>
      <c r="H14" s="102"/>
    </row>
    <row r="15" spans="1:8" x14ac:dyDescent="0.2">
      <c r="D15" s="100"/>
      <c r="E15" s="103"/>
      <c r="G15" s="100"/>
      <c r="H15" s="103"/>
    </row>
    <row r="16" spans="1:8" x14ac:dyDescent="0.2">
      <c r="D16" s="101"/>
      <c r="E16" s="102"/>
      <c r="G16" s="101"/>
      <c r="H16" s="102"/>
    </row>
    <row r="17" spans="1:8" x14ac:dyDescent="0.2">
      <c r="D17" s="100"/>
      <c r="E17" s="103"/>
      <c r="G17" s="100"/>
      <c r="H17" s="103"/>
    </row>
    <row r="18" spans="1:8" x14ac:dyDescent="0.2">
      <c r="D18" s="101"/>
      <c r="E18" s="102"/>
      <c r="G18" s="101"/>
      <c r="H18" s="102"/>
    </row>
    <row r="19" spans="1:8" x14ac:dyDescent="0.2">
      <c r="D19" s="101"/>
      <c r="E19" s="102"/>
      <c r="G19" s="101"/>
      <c r="H19" s="102"/>
    </row>
    <row r="20" spans="1:8" x14ac:dyDescent="0.2">
      <c r="A20" s="99" t="s">
        <v>83</v>
      </c>
      <c r="B20" s="99"/>
      <c r="D20" s="106" t="s">
        <v>84</v>
      </c>
      <c r="E20" s="107"/>
      <c r="G20" s="106" t="s">
        <v>95</v>
      </c>
      <c r="H20" s="10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2025</vt:lpstr>
      <vt:lpstr>2026</vt:lpstr>
      <vt:lpstr>CartaoNeon</vt:lpstr>
      <vt:lpstr>CartaoMais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Santana Zimermann</dc:creator>
  <cp:lastModifiedBy>Cristian Zimermann</cp:lastModifiedBy>
  <dcterms:created xsi:type="dcterms:W3CDTF">2024-03-06T11:24:23Z</dcterms:created>
  <dcterms:modified xsi:type="dcterms:W3CDTF">2026-05-07T00:28:06Z</dcterms:modified>
</cp:coreProperties>
</file>